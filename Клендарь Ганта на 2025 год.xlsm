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drawings/drawing2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drawings/drawing3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filterPrivacy="1" codeName="ЭтаКнига" defaultThemeVersion="124226"/>
  <bookViews>
    <workbookView xWindow="38280" yWindow="5355" windowWidth="29040" windowHeight="15720" tabRatio="756" activeTab="1"/>
  </bookViews>
  <sheets>
    <sheet name="Календарь" sheetId="26" r:id="rId1"/>
    <sheet name="Макет" sheetId="34" r:id="rId2"/>
    <sheet name="Лица" sheetId="4" r:id="rId3"/>
    <sheet name="Общие задачи" sheetId="25" r:id="rId4"/>
    <sheet name="Управление" sheetId="24" r:id="rId5"/>
    <sheet name="№ТЭЦ-11" sheetId="36" r:id="rId6"/>
  </sheets>
  <definedNames>
    <definedName name="_FilterDatabase" localSheetId="5" hidden="1">'№ТЭЦ-11'!#REF!</definedName>
    <definedName name="_FilterDatabase" localSheetId="1" hidden="1">Макет!#REF!</definedName>
    <definedName name="_FilterDatabase" localSheetId="3" hidden="1">'Общие задачи'!$B$2:$J$4</definedName>
    <definedName name="_FilterDatabase" localSheetId="4" hidden="1">Управление!$C$2:$J$153</definedName>
    <definedName name="_xlnm._FilterDatabase" localSheetId="3" hidden="1">'Общие задачи'!$B$2:$J$4</definedName>
    <definedName name="_xlnm._FilterDatabase" localSheetId="4" hidden="1">Управление!$C$2:$J$153</definedName>
  </definedNames>
  <calcPr calcId="145621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J25" i="36" l="1"/>
  <c r="I300" i="24" l="1"/>
  <c r="I197" i="24" l="1"/>
  <c r="I193" i="24"/>
  <c r="I188" i="24"/>
  <c r="I155" i="24"/>
  <c r="I156" i="24"/>
  <c r="I157" i="24"/>
  <c r="I158" i="24"/>
  <c r="I159" i="24"/>
  <c r="I160" i="24"/>
  <c r="I161" i="24"/>
  <c r="I162" i="24"/>
  <c r="I163" i="24"/>
  <c r="I164" i="24"/>
  <c r="I177" i="24" l="1"/>
  <c r="I166" i="24"/>
  <c r="I167" i="24"/>
  <c r="I168" i="24"/>
  <c r="I169" i="24"/>
  <c r="I170" i="24"/>
  <c r="I171" i="24"/>
  <c r="I172" i="24"/>
  <c r="I173" i="24"/>
  <c r="I174" i="24"/>
  <c r="I175" i="24"/>
  <c r="I176" i="24"/>
  <c r="I178" i="24"/>
  <c r="I179" i="24"/>
  <c r="I180" i="24"/>
  <c r="I181" i="24"/>
  <c r="I182" i="24"/>
  <c r="I183" i="24"/>
  <c r="I165" i="24"/>
  <c r="I68" i="24" l="1"/>
</calcChain>
</file>

<file path=xl/sharedStrings.xml><?xml version="1.0" encoding="utf-8"?>
<sst xmlns="http://schemas.openxmlformats.org/spreadsheetml/2006/main" count="563" uniqueCount="289">
  <si>
    <t>АЮ</t>
  </si>
  <si>
    <t>Оплата</t>
  </si>
  <si>
    <t>Кто (Наша)</t>
  </si>
  <si>
    <t>Стоимость</t>
  </si>
  <si>
    <t xml:space="preserve">Последняя строка </t>
  </si>
  <si>
    <t>**************************************************************</t>
  </si>
  <si>
    <t>СМ</t>
  </si>
  <si>
    <t>Наталья Ивановна</t>
  </si>
  <si>
    <t xml:space="preserve"> </t>
  </si>
  <si>
    <t>Управление</t>
  </si>
  <si>
    <t>ДГ</t>
  </si>
  <si>
    <t>Договор</t>
  </si>
  <si>
    <t>КМ</t>
  </si>
  <si>
    <t>АР</t>
  </si>
  <si>
    <t>ИОС1</t>
  </si>
  <si>
    <t>Алексей</t>
  </si>
  <si>
    <t>ЭС</t>
  </si>
  <si>
    <t>СМ ЭС</t>
  </si>
  <si>
    <t>ЭО</t>
  </si>
  <si>
    <t>ОПС</t>
  </si>
  <si>
    <t>Петр</t>
  </si>
  <si>
    <t xml:space="preserve">АЮ </t>
  </si>
  <si>
    <t xml:space="preserve"> +7 950 122-33-47</t>
  </si>
  <si>
    <t>Подлесский Алексей Олегович</t>
  </si>
  <si>
    <t>ООО «Байкальская Энергетическая компания» ТЭЦ-6</t>
  </si>
  <si>
    <t>Заместитель начальника ПТО-ТИ</t>
  </si>
  <si>
    <t>PodlesskiyAO@baikalenergy.com</t>
  </si>
  <si>
    <t xml:space="preserve"> 8 (3953) 323-622</t>
  </si>
  <si>
    <t>ОТР</t>
  </si>
  <si>
    <t>Обмеры</t>
  </si>
  <si>
    <t>Согласовать Савву</t>
  </si>
  <si>
    <t>Вид работ</t>
  </si>
  <si>
    <t>Направить запрос, отчертить для ОТР отравить на согласование зак.</t>
  </si>
  <si>
    <t>ТТ</t>
  </si>
  <si>
    <t>НИ</t>
  </si>
  <si>
    <t>Согласовать оборудование   РЕГИСТРАТОР</t>
  </si>
  <si>
    <t>Согласовать оборудование   СЕТЕВОЕ</t>
  </si>
  <si>
    <t>ОТР.СС</t>
  </si>
  <si>
    <t>ОТР.ТХ</t>
  </si>
  <si>
    <t>ОТР.АР</t>
  </si>
  <si>
    <t>ОТР.ЭС</t>
  </si>
  <si>
    <t>Согласовать подключение к ЭС</t>
  </si>
  <si>
    <t>ОТР.ЭН</t>
  </si>
  <si>
    <t>ОТР ГП</t>
  </si>
  <si>
    <t>ИЭП</t>
  </si>
  <si>
    <t>Киренск</t>
  </si>
  <si>
    <t>Замечания</t>
  </si>
  <si>
    <t>Выполненные проекты</t>
  </si>
  <si>
    <t>Доп.работы</t>
  </si>
  <si>
    <t>Усть-Кут Котельная</t>
  </si>
  <si>
    <t>Доп-раб</t>
  </si>
  <si>
    <t>ТЭЦ-6</t>
  </si>
  <si>
    <t>СИЗО (ОВ)</t>
  </si>
  <si>
    <t>Дата выполнения</t>
  </si>
  <si>
    <t>33-98-28   kbosizo-1@yandex.ru   Муратов Николай Николаевич</t>
  </si>
  <si>
    <t>otgm.irkutsk@yandex.ru</t>
  </si>
  <si>
    <t>33-98-28   kbosizo-1@yandex.ru   Разуваев Николай Александрович</t>
  </si>
  <si>
    <t>АЮ+ТТ</t>
  </si>
  <si>
    <t>Согласовать (Отчертить) ЭН</t>
  </si>
  <si>
    <t>Выслать доки по гарантии</t>
  </si>
  <si>
    <t xml:space="preserve"> ***************************************************************************</t>
  </si>
  <si>
    <t>Office_tec-6@baikalenergy.com</t>
  </si>
  <si>
    <t>ОТР КМ</t>
  </si>
  <si>
    <t>Раздел КМ</t>
  </si>
  <si>
    <t>Света</t>
  </si>
  <si>
    <t xml:space="preserve">   - отправит на согласование.</t>
  </si>
  <si>
    <t>Автоматика</t>
  </si>
  <si>
    <t xml:space="preserve">    -   Автоматика ворот</t>
  </si>
  <si>
    <t xml:space="preserve">    - Отправка на заводы (дорхан)</t>
  </si>
  <si>
    <t xml:space="preserve">      -   Согласовать подвагонную камеру и способ установки</t>
  </si>
  <si>
    <t xml:space="preserve">    -  Направить на завод</t>
  </si>
  <si>
    <t>ОТР КЖ</t>
  </si>
  <si>
    <t>Раздел КЖ</t>
  </si>
  <si>
    <t>Сделать АР и вставить в ОЛ</t>
  </si>
  <si>
    <t>Подвагонная камера</t>
  </si>
  <si>
    <t>Трап досмотра</t>
  </si>
  <si>
    <t>Собрать нагрузки</t>
  </si>
  <si>
    <t>3. Доплату аванс  25000 по Известковой 16 (сч.№27 от 23.05)</t>
  </si>
  <si>
    <t>Говорин</t>
  </si>
  <si>
    <t>1Долг  СМ Наталья Ивановна  Кровля сдана в экспертизу</t>
  </si>
  <si>
    <t>Счет за саянск остаток</t>
  </si>
  <si>
    <t>ОЛ</t>
  </si>
  <si>
    <t xml:space="preserve">Исполнители </t>
  </si>
  <si>
    <t>+7 964 743-42-54</t>
  </si>
  <si>
    <t>Лене сбросить ТЗ</t>
  </si>
  <si>
    <t>Дрговр ЭС</t>
  </si>
  <si>
    <t>Договор ОВ</t>
  </si>
  <si>
    <t>Лена ЭС Сельпроект   el.gruzdewa2013@yandex.ru</t>
  </si>
  <si>
    <t>Встреча с мастером на ТП</t>
  </si>
  <si>
    <t>promcompany@yandex.ru</t>
  </si>
  <si>
    <t xml:space="preserve">ООО «Промышленная компания» </t>
  </si>
  <si>
    <t>8914-943-23-13 Попов Александр Иванович</t>
  </si>
  <si>
    <t>отпавка схемы</t>
  </si>
  <si>
    <t xml:space="preserve">  Допуск</t>
  </si>
  <si>
    <t>20 и 5 по согласованию</t>
  </si>
  <si>
    <t>Блинский Алексей СДТУ 89140089640    Связиств</t>
  </si>
  <si>
    <t>ТМ</t>
  </si>
  <si>
    <t>Отправка на согласвоание</t>
  </si>
  <si>
    <t>Лера</t>
  </si>
  <si>
    <t>СМ ТМ</t>
  </si>
  <si>
    <t>Лена</t>
  </si>
  <si>
    <t>Виктория</t>
  </si>
  <si>
    <t>СТАДИЯ П</t>
  </si>
  <si>
    <t>ТХ</t>
  </si>
  <si>
    <t>СС</t>
  </si>
  <si>
    <t>ГП</t>
  </si>
  <si>
    <t>КЖ</t>
  </si>
  <si>
    <t>СИЗО ЭС</t>
  </si>
  <si>
    <t>СИЗО ТМ</t>
  </si>
  <si>
    <t>******************Обвязка Усть-Кут   ГОВОРИН  ********************</t>
  </si>
  <si>
    <t xml:space="preserve">Договор - Счет </t>
  </si>
  <si>
    <t xml:space="preserve">ВК </t>
  </si>
  <si>
    <t>******************СОШ1 Раздел СС    ГОВОРИН  ********************</t>
  </si>
  <si>
    <t>Засядко Алексей</t>
  </si>
  <si>
    <t>Говорин ВК Усть-кут</t>
  </si>
  <si>
    <t>Говорин СОШ1 раздел СС</t>
  </si>
  <si>
    <t>******************СОШ2 Раздел СС    ГОВОРИН  ********************</t>
  </si>
  <si>
    <t>Вотсап</t>
  </si>
  <si>
    <t>Говорин СОШ2 раздел СС</t>
  </si>
  <si>
    <t>******************СОШ1  Раздел СМ    ГОВОРИН  ********************</t>
  </si>
  <si>
    <t>Наталья Ив (АР и ГП)</t>
  </si>
  <si>
    <t>Получила пред</t>
  </si>
  <si>
    <t>Аванс проплачен</t>
  </si>
  <si>
    <t>Повторно отправка счетов 8-08-24</t>
  </si>
  <si>
    <t>Я оплатил жду от Говорина 16-08-24</t>
  </si>
  <si>
    <t>Говорин теплосч. Лермонтова 293</t>
  </si>
  <si>
    <t>Карлук</t>
  </si>
  <si>
    <t>Повторно выставили счет на 80 т.р.</t>
  </si>
  <si>
    <t>СМЕТЫ</t>
  </si>
  <si>
    <t>Сергей    +7 914 913-14-05</t>
  </si>
  <si>
    <t>Фрилансер Сергей</t>
  </si>
  <si>
    <t>СТАДИЯ Р</t>
  </si>
  <si>
    <t>????</t>
  </si>
  <si>
    <t>ГОВОРИН ФКР</t>
  </si>
  <si>
    <t>Фасад Байкальская, 320-2</t>
  </si>
  <si>
    <t>Иправленный вариант</t>
  </si>
  <si>
    <t>Известковая 16   Кровля</t>
  </si>
  <si>
    <t>Счет №62 18-09-24</t>
  </si>
  <si>
    <t>Счет 18-09-24 №61</t>
  </si>
  <si>
    <t>Байкальская, 178</t>
  </si>
  <si>
    <t>Лермонтова, 275А</t>
  </si>
  <si>
    <t>Сибирских партизан 5</t>
  </si>
  <si>
    <t>Сибирская 38</t>
  </si>
  <si>
    <t>фасад Трилиссера</t>
  </si>
  <si>
    <t>Декабрьских Событий, 105В</t>
  </si>
  <si>
    <t>г. Иркутск, ул. Баумана, д. 208</t>
  </si>
  <si>
    <t xml:space="preserve"> Шелехов, 6-й кв-л, д. 25</t>
  </si>
  <si>
    <t>ЭОМ</t>
  </si>
  <si>
    <t>Зас.</t>
  </si>
  <si>
    <t xml:space="preserve"> Шелехов, 6-й кв-л, д. 26</t>
  </si>
  <si>
    <t>п.Чистые Ключи д.6</t>
  </si>
  <si>
    <t>Счет 58</t>
  </si>
  <si>
    <t>Фасады ФКР 6 шт.</t>
  </si>
  <si>
    <t>Счет 64 2-10-24 Говорин</t>
  </si>
  <si>
    <t>Альбом 2407-01-ВК Усть-Кут</t>
  </si>
  <si>
    <t>Счет №64 02-10-24</t>
  </si>
  <si>
    <t>ТЭЦ-11 Усолье</t>
  </si>
  <si>
    <t>АВТ</t>
  </si>
  <si>
    <t>Счет 25-09-24</t>
  </si>
  <si>
    <t>РД</t>
  </si>
  <si>
    <t>Акт выбора трассы</t>
  </si>
  <si>
    <t>ЭГ</t>
  </si>
  <si>
    <t>ЭМ</t>
  </si>
  <si>
    <t>Электроснабжение</t>
  </si>
  <si>
    <t>Сергей</t>
  </si>
  <si>
    <t>Отправка ЭС</t>
  </si>
  <si>
    <t>КПП на ж/д путях ТЭЦ-7</t>
  </si>
  <si>
    <t>в рамка П</t>
  </si>
  <si>
    <t>Охранно пож.сингализация</t>
  </si>
  <si>
    <t>28-06-24 1500</t>
  </si>
  <si>
    <t>Красногвардейская кровля</t>
  </si>
  <si>
    <t>Вставить счет 07-09-24</t>
  </si>
  <si>
    <t>Байкальская 320-3</t>
  </si>
  <si>
    <t>Розы люксембург</t>
  </si>
  <si>
    <t>п.3  Гидравлические расчет -</t>
  </si>
  <si>
    <t>п.8 расчет на прочность.</t>
  </si>
  <si>
    <t>отдал нал в леруа</t>
  </si>
  <si>
    <t xml:space="preserve">Оформили и переслали мне </t>
  </si>
  <si>
    <t>Сч. 69 07-10-24</t>
  </si>
  <si>
    <t>СМ Красногв.,Роза,Байк 320-3</t>
  </si>
  <si>
    <t>Счет 70 10-10-24</t>
  </si>
  <si>
    <t>ЭС ФКР 4 объекта</t>
  </si>
  <si>
    <t>Пришли замечания 14-10-24 передал Сергею</t>
  </si>
  <si>
    <t>Раздел проекта</t>
  </si>
  <si>
    <t>Индекатор</t>
  </si>
  <si>
    <t>Сеогей</t>
  </si>
  <si>
    <t>Отправка КЖ,КМ</t>
  </si>
  <si>
    <t>Руд</t>
  </si>
  <si>
    <t>*прим</t>
  </si>
  <si>
    <t>Отправка СС</t>
  </si>
  <si>
    <t>Дата пост.</t>
  </si>
  <si>
    <t>Направляен запрос ТКП на ЭТМ и Промсвет</t>
  </si>
  <si>
    <t>ТФЛ</t>
  </si>
  <si>
    <t>СОТ</t>
  </si>
  <si>
    <t>Видеонаблюдение</t>
  </si>
  <si>
    <t>Тел. И радиосвязь</t>
  </si>
  <si>
    <t>СМ ОВ</t>
  </si>
  <si>
    <t xml:space="preserve">Счет №62 18-09-24 </t>
  </si>
  <si>
    <t>Тайшет Суворова 6</t>
  </si>
  <si>
    <t>Тайшет Суворова 11</t>
  </si>
  <si>
    <t xml:space="preserve">Счет 72 18-10-24 </t>
  </si>
  <si>
    <t xml:space="preserve">Счет 25-09-24  выстален </t>
  </si>
  <si>
    <t>******СИЗО ********************</t>
  </si>
  <si>
    <t>Кирилл +7 953 601 8936</t>
  </si>
  <si>
    <t>10 за один расчет</t>
  </si>
  <si>
    <t>Финиш</t>
  </si>
  <si>
    <t>Ок</t>
  </si>
  <si>
    <t>Теплоизоляция</t>
  </si>
  <si>
    <t xml:space="preserve">Счет 74 06-11-24 </t>
  </si>
  <si>
    <t>Известковая остаток по ВК, ОВ,СМ</t>
  </si>
  <si>
    <t>72 18-10-24 ЭС Тайшет 11 и Тайшет 6</t>
  </si>
  <si>
    <t>Счет 72</t>
  </si>
  <si>
    <t>№27 23,05</t>
  </si>
  <si>
    <t>Часть оплачена</t>
  </si>
  <si>
    <t xml:space="preserve">Счет 74 06-11-24 Остаток после предоплаты счету 27-23 </t>
  </si>
  <si>
    <t>Известковая 16   ОВ.ВК.СМ</t>
  </si>
  <si>
    <t>Сч 27  23.05.2024   Предоплата (Всего по договру 150)</t>
  </si>
  <si>
    <t>информ.модели Горячий Ключ.  </t>
  </si>
  <si>
    <t>ангарску 99-2 и Сиб.партизан 10   </t>
  </si>
  <si>
    <t>Счет 31 31-05-24</t>
  </si>
  <si>
    <t>Счет №61    18-09-24 Гоаорин</t>
  </si>
  <si>
    <t>Черемхово Гейштова 5</t>
  </si>
  <si>
    <t>Я оплатил</t>
  </si>
  <si>
    <t>Профиль трассы 1</t>
  </si>
  <si>
    <t>Надежда</t>
  </si>
  <si>
    <t>Профиль трассы 2</t>
  </si>
  <si>
    <t>Повторный расчет</t>
  </si>
  <si>
    <t>Наталья Иван.</t>
  </si>
  <si>
    <t>Новый расчет</t>
  </si>
  <si>
    <t xml:space="preserve"> Шелехов, Д1</t>
  </si>
  <si>
    <t>ВК1</t>
  </si>
  <si>
    <t>ВК2</t>
  </si>
  <si>
    <t>КН</t>
  </si>
  <si>
    <t>ОВ (Теплоузел)</t>
  </si>
  <si>
    <t>Кате Гипробум</t>
  </si>
  <si>
    <t>За КН</t>
  </si>
  <si>
    <t>Счет отправили 23-12-24</t>
  </si>
  <si>
    <t>Долг заказчика</t>
  </si>
  <si>
    <t>Мои долги</t>
  </si>
  <si>
    <t>счет повторн. Отпр.24-12-24</t>
  </si>
  <si>
    <t>Почтой отправлена документация</t>
  </si>
  <si>
    <t>За КН 40, За ОВ</t>
  </si>
  <si>
    <t>100 т.р.</t>
  </si>
  <si>
    <t>СМ Демонтаж</t>
  </si>
  <si>
    <t>Передал задание 27-12</t>
  </si>
  <si>
    <t>Дела на дату</t>
  </si>
  <si>
    <t>Долг за ТХ</t>
  </si>
  <si>
    <t>Дата создания</t>
  </si>
  <si>
    <t>Подгруппа</t>
  </si>
  <si>
    <t>Имя</t>
  </si>
  <si>
    <t>Фам.</t>
  </si>
  <si>
    <t>Псевдоним</t>
  </si>
  <si>
    <t>Компания</t>
  </si>
  <si>
    <t>Email</t>
  </si>
  <si>
    <t>Моб.1</t>
  </si>
  <si>
    <t>Моб.2</t>
  </si>
  <si>
    <t>Прим.</t>
  </si>
  <si>
    <t>Игорь Юрьевич</t>
  </si>
  <si>
    <t>Тимлюй</t>
  </si>
  <si>
    <t>+7 924 710-00-02</t>
  </si>
  <si>
    <t>В темлюе (каменск) необхаодимо сделать реконструкцию</t>
  </si>
  <si>
    <t>КонтрАгент</t>
  </si>
  <si>
    <t>Встреча</t>
  </si>
  <si>
    <t>Поиск проектов</t>
  </si>
  <si>
    <t>Счет 25-09-24   оплата26.11.2024</t>
  </si>
  <si>
    <t>Доп. Про опорам</t>
  </si>
  <si>
    <t>Переезд ЖД</t>
  </si>
  <si>
    <t>ПЗ</t>
  </si>
  <si>
    <t>ПЗ расчет труба 800</t>
  </si>
  <si>
    <t>ПЗ расчет труба 426+530</t>
  </si>
  <si>
    <t>Посянительная по ТКр</t>
  </si>
  <si>
    <t>Выдажи 09-01-25</t>
  </si>
  <si>
    <t>Выдано 09-01-25</t>
  </si>
  <si>
    <t xml:space="preserve">Илья </t>
  </si>
  <si>
    <t>Расчет фундамента</t>
  </si>
  <si>
    <t>Календарь</t>
  </si>
  <si>
    <t>Расчет на прочность</t>
  </si>
  <si>
    <t>Фундаменты</t>
  </si>
  <si>
    <t>Статус</t>
  </si>
  <si>
    <t>***</t>
  </si>
  <si>
    <t>Просрочен</t>
  </si>
  <si>
    <t>Инд</t>
  </si>
  <si>
    <t>Задача</t>
  </si>
  <si>
    <t>Дата начала</t>
  </si>
  <si>
    <t>Дата окончания</t>
  </si>
  <si>
    <t>№ТЭЦ-11</t>
  </si>
  <si>
    <t>Пернести ниже для продолжения</t>
  </si>
  <si>
    <t xml:space="preserve">Дата выполнения </t>
  </si>
  <si>
    <t>Выполнено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</si>
</sst>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yyyy\-mm\-dd"/>
  </numFmts>
  <fonts count="1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204"/>
      <scheme val="minor"/>
    </font>
    <font>
      <u/>
      <sz val="11"/>
      <color theme="10"/>
      <name val="Calibri"/>
      <family val="2"/>
      <scheme val="minor"/>
    </font>
    <font>
      <sz val="11"/>
      <color rgb="FF1F1F1F"/>
      <name val="Arial"/>
      <family val="2"/>
      <charset val="204"/>
    </font>
    <font>
      <sz val="11"/>
      <color rgb="FF2C2D2E"/>
      <name val="Arial"/>
      <family val="2"/>
      <charset val="204"/>
    </font>
    <font>
      <sz val="11"/>
      <color rgb="FF202124"/>
      <name val="Arial"/>
      <family val="2"/>
      <charset val="204"/>
    </font>
    <font>
      <i/>
      <sz val="12"/>
      <color rgb="FF1F4E79"/>
      <name val="Arial Narrow"/>
      <family val="2"/>
      <charset val="204"/>
    </font>
    <font>
      <sz val="11"/>
      <color rgb="FF303030"/>
      <name val="Arial"/>
      <family val="2"/>
      <charset val="204"/>
    </font>
    <font>
      <sz val="11"/>
      <color rgb="FF000000"/>
      <name val="Times New Roman"/>
      <family val="1"/>
      <charset val="204"/>
    </font>
    <font>
      <b/>
      <sz val="11"/>
      <color rgb="FF3F3F3F"/>
      <name val="Calibri"/>
      <family val="2"/>
      <charset val="204"/>
      <scheme val="minor"/>
    </font>
    <font>
      <sz val="14"/>
      <color theme="1"/>
      <name val="Times New Roman"/>
      <family val="1"/>
      <charset val="204"/>
    </font>
    <font>
      <sz val="16"/>
      <color theme="1"/>
      <name val="Times New Roman"/>
      <family val="1"/>
      <charset val="204"/>
    </font>
  </fonts>
  <fills count="13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2F2F2"/>
      </patternFill>
    </fill>
    <fill>
      <patternFill patternType="solid">
        <fgColor rgb="FF00FF00"/>
        <bgColor indexed="64"/>
      </patternFill>
    </fill>
    <fill>
      <patternFill patternType="solid">
        <fgColor rgb="FFFF5B5A"/>
        <bgColor indexed="64"/>
      </patternFill>
    </fill>
  </fills>
  <borders count="9">
    <border>
      <left/>
      <right/>
      <top/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rgb="FF3F3F3F"/>
      </right>
      <top style="medium">
        <color indexed="64"/>
      </top>
      <bottom style="medium">
        <color indexed="64"/>
      </bottom>
      <diagonal/>
    </border>
    <border>
      <left style="thin">
        <color rgb="FF3F3F3F"/>
      </left>
      <right style="thin">
        <color rgb="FF3F3F3F"/>
      </right>
      <top style="medium">
        <color indexed="64"/>
      </top>
      <bottom style="medium">
        <color indexed="64"/>
      </bottom>
      <diagonal/>
    </border>
    <border>
      <left style="thin">
        <color rgb="FF3F3F3F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</borders>
  <cellStyleXfs count="3">
    <xf numFmtId="0" fontId="0" fillId="0" borderId="0"/>
    <xf numFmtId="0" fontId="2" fillId="0" borderId="0" applyNumberFormat="0" applyFill="0" applyBorder="0" applyAlignment="0" applyProtection="0"/>
    <xf numFmtId="0" fontId="9" fillId="10" borderId="1" applyNumberFormat="0" applyAlignment="0" applyProtection="0"/>
  </cellStyleXfs>
  <cellXfs count="59">
    <xf numFmtId="0" fontId="0" fillId="0" borderId="0" xfId="0"/>
    <xf numFmtId="0" fontId="2" fillId="0" borderId="0" xfId="1"/>
    <xf numFmtId="0" fontId="3" fillId="0" borderId="0" xfId="0" applyFont="1"/>
    <xf numFmtId="0" fontId="4" fillId="0" borderId="0" xfId="0" applyFont="1"/>
    <xf numFmtId="0" fontId="5" fillId="0" borderId="0" xfId="0" applyFont="1" applyAlignment="1">
      <alignment vertical="center" wrapText="1"/>
    </xf>
    <xf numFmtId="0" fontId="0" fillId="0" borderId="0" xfId="0" applyAlignment="1">
      <alignment wrapText="1"/>
    </xf>
    <xf numFmtId="0" fontId="0" fillId="2" borderId="0" xfId="0" applyFill="1"/>
    <xf numFmtId="0" fontId="2" fillId="0" borderId="0" xfId="1" applyAlignment="1"/>
    <xf numFmtId="0" fontId="6" fillId="0" borderId="0" xfId="0" applyFont="1"/>
    <xf numFmtId="0" fontId="0" fillId="3" borderId="0" xfId="0" applyFill="1"/>
    <xf numFmtId="14" fontId="0" fillId="0" borderId="0" xfId="0" applyNumberFormat="1"/>
    <xf numFmtId="14" fontId="0" fillId="3" borderId="0" xfId="0" applyNumberFormat="1" applyFill="1"/>
    <xf numFmtId="0" fontId="0" fillId="4" borderId="0" xfId="0" applyFill="1"/>
    <xf numFmtId="0" fontId="0" fillId="5" borderId="0" xfId="0" applyFill="1"/>
    <xf numFmtId="0" fontId="0" fillId="6" borderId="0" xfId="0" applyFill="1"/>
    <xf numFmtId="14" fontId="0" fillId="5" borderId="0" xfId="0" applyNumberFormat="1" applyFill="1"/>
    <xf numFmtId="14" fontId="0" fillId="2" borderId="0" xfId="0" applyNumberFormat="1" applyFill="1"/>
    <xf numFmtId="0" fontId="2" fillId="0" borderId="0" xfId="1" applyAlignment="1">
      <alignment wrapText="1"/>
    </xf>
    <xf numFmtId="0" fontId="1" fillId="0" borderId="0" xfId="0" applyFont="1"/>
    <xf numFmtId="0" fontId="0" fillId="7" borderId="0" xfId="0" applyFill="1"/>
    <xf numFmtId="0" fontId="0" fillId="3" borderId="0" xfId="0" applyFill="1" applyAlignment="1">
      <alignment vertical="center" wrapText="1"/>
    </xf>
    <xf numFmtId="0" fontId="0" fillId="0" borderId="0" xfId="0" applyAlignment="1">
      <alignment vertical="center" wrapText="1"/>
    </xf>
    <xf numFmtId="0" fontId="0" fillId="4" borderId="0" xfId="0" applyFill="1" applyAlignment="1">
      <alignment vertical="center" wrapText="1"/>
    </xf>
    <xf numFmtId="0" fontId="0" fillId="6" borderId="0" xfId="0" applyFill="1" applyAlignment="1">
      <alignment vertical="center" wrapText="1"/>
    </xf>
    <xf numFmtId="0" fontId="4" fillId="0" borderId="0" xfId="0" applyFont="1" applyAlignment="1">
      <alignment vertical="center" wrapText="1"/>
    </xf>
    <xf numFmtId="0" fontId="0" fillId="2" borderId="0" xfId="0" applyFill="1" applyAlignment="1">
      <alignment vertical="center" wrapText="1"/>
    </xf>
    <xf numFmtId="0" fontId="7" fillId="0" borderId="0" xfId="0" applyFont="1"/>
    <xf numFmtId="0" fontId="0" fillId="8" borderId="0" xfId="0" applyFill="1"/>
    <xf numFmtId="16" fontId="0" fillId="0" borderId="0" xfId="0" applyNumberFormat="1"/>
    <xf numFmtId="0" fontId="0" fillId="7" borderId="0" xfId="0" applyFill="1" applyAlignment="1">
      <alignment vertical="center" wrapText="1"/>
    </xf>
    <xf numFmtId="14" fontId="8" fillId="0" borderId="0" xfId="0" applyNumberFormat="1" applyFont="1"/>
    <xf numFmtId="14" fontId="8" fillId="7" borderId="0" xfId="0" applyNumberFormat="1" applyFont="1" applyFill="1"/>
    <xf numFmtId="0" fontId="0" fillId="9" borderId="0" xfId="0" applyFill="1"/>
    <xf numFmtId="0" fontId="0" fillId="5" borderId="0" xfId="0" applyFill="1" applyAlignment="1">
      <alignment vertical="center" wrapText="1"/>
    </xf>
    <xf numFmtId="164" fontId="0" fillId="0" borderId="0" xfId="0" applyNumberFormat="1"/>
    <xf numFmtId="0" fontId="9" fillId="0" borderId="3" xfId="2" applyFill="1" applyBorder="1" applyAlignment="1">
      <alignment horizontal="center"/>
    </xf>
    <xf numFmtId="0" fontId="9" fillId="0" borderId="4" xfId="2" applyFill="1" applyBorder="1" applyAlignment="1">
      <alignment horizontal="center"/>
    </xf>
    <xf numFmtId="0" fontId="9" fillId="0" borderId="5" xfId="2" applyFill="1" applyBorder="1" applyAlignment="1">
      <alignment horizontal="center"/>
    </xf>
    <xf numFmtId="0" fontId="0" fillId="3" borderId="0" xfId="0" applyFill="1" applyAlignment="1">
      <alignment horizontal="center"/>
    </xf>
    <xf numFmtId="14" fontId="10" fillId="0" borderId="2" xfId="0" applyNumberFormat="1" applyFont="1" applyBorder="1" applyAlignment="1">
      <alignment horizontal="center" vertical="center" textRotation="90" shrinkToFit="1"/>
    </xf>
    <xf numFmtId="49" fontId="9" fillId="0" borderId="4" xfId="2" applyNumberFormat="1" applyFill="1" applyBorder="1" applyAlignment="1">
      <alignment horizontal="center"/>
    </xf>
    <xf numFmtId="0" fontId="0" fillId="0" borderId="0" xfId="0" applyAlignment="1"/>
    <xf numFmtId="0" fontId="0" fillId="0" borderId="0" xfId="0" applyAlignment="1">
      <alignment horizontal="center"/>
    </xf>
    <xf numFmtId="14" fontId="0" fillId="0" borderId="0" xfId="0" applyNumberFormat="1" applyFill="1" applyAlignment="1">
      <alignment horizontal="center"/>
    </xf>
    <xf numFmtId="49" fontId="0" fillId="0" borderId="0" xfId="0" applyNumberFormat="1" applyAlignment="1">
      <alignment horizontal="center"/>
    </xf>
    <xf numFmtId="49" fontId="11" fillId="0" borderId="6" xfId="0" applyNumberFormat="1" applyFont="1" applyBorder="1" applyAlignment="1">
      <alignment horizontal="center" vertical="center" textRotation="90" shrinkToFit="1"/>
    </xf>
    <xf numFmtId="14" fontId="10" fillId="0" borderId="7" xfId="0" applyNumberFormat="1" applyFont="1" applyBorder="1" applyAlignment="1">
      <alignment horizontal="center" vertical="center" textRotation="90" shrinkToFit="1"/>
    </xf>
    <xf numFmtId="14" fontId="10" fillId="0" borderId="8" xfId="0" applyNumberFormat="1" applyFont="1" applyBorder="1" applyAlignment="1">
      <alignment horizontal="center" vertical="center" textRotation="90" shrinkToFit="1"/>
    </xf>
    <xf numFmtId="14" fontId="0" fillId="0" borderId="0" xfId="0" applyNumberFormat="1" applyFill="1" applyAlignment="1"/>
    <xf numFmtId="14" fontId="0" fillId="0" borderId="0" xfId="0" applyNumberFormat="1" applyAlignment="1">
      <alignment horizontal="center"/>
    </xf>
    <xf numFmtId="0" fontId="0" fillId="0" borderId="0" xfId="0" applyFill="1" applyAlignment="1">
      <alignment horizontal="center"/>
    </xf>
    <xf numFmtId="0" fontId="0" fillId="2" borderId="0" xfId="0" applyFill="1" applyAlignment="1">
      <alignment horizontal="center"/>
    </xf>
    <xf numFmtId="0" fontId="0" fillId="0" borderId="0" xfId="0" applyAlignment="1">
      <alignment horizontal="center" vertical="center" wrapText="1"/>
    </xf>
    <xf numFmtId="14" fontId="0" fillId="2" borderId="0" xfId="0" applyNumberFormat="1" applyFill="1" applyAlignment="1">
      <alignment horizontal="center"/>
    </xf>
    <xf numFmtId="0" fontId="0" fillId="11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0" fillId="12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0" fillId="12" borderId="0" xfId="0" applyFill="1" applyAlignment="1">
      <alignment horizontal="center"/>
    </xf>
  </cellXfs>
  <cellStyles count="3">
    <cellStyle name="Вывод" xfId="2" builtinId="21"/>
    <cellStyle name="Гиперссылка" xfId="1" builtinId="8"/>
    <cellStyle name="Обычный" xfId="0" builtinId="0"/>
  </cellStyles>
  <dxfs count="0"/>
  <tableStyles count="0" defaultTableStyle="TableStyleMedium2" defaultPivotStyle="PivotStyleMedium9"/>
  <colors>
    <mruColors>
      <color rgb="FFFF5B5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447675</xdr:colOff>
          <xdr:row>0</xdr:row>
          <xdr:rowOff>723900</xdr:rowOff>
        </xdr:from>
        <xdr:to>
          <xdr:col>0</xdr:col>
          <xdr:colOff>1333500</xdr:colOff>
          <xdr:row>0</xdr:row>
          <xdr:rowOff>1276350</xdr:rowOff>
        </xdr:to>
        <xdr:sp macro="" textlink="">
          <xdr:nvSpPr>
            <xdr:cNvPr id="1026" name="CommandButton21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266700</xdr:colOff>
          <xdr:row>0</xdr:row>
          <xdr:rowOff>76200</xdr:rowOff>
        </xdr:from>
        <xdr:to>
          <xdr:col>0</xdr:col>
          <xdr:colOff>1447800</xdr:colOff>
          <xdr:row>0</xdr:row>
          <xdr:rowOff>619125</xdr:rowOff>
        </xdr:to>
        <xdr:sp macro="" textlink="">
          <xdr:nvSpPr>
            <xdr:cNvPr id="1027" name="CommandButton22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85725</xdr:colOff>
          <xdr:row>0</xdr:row>
          <xdr:rowOff>114300</xdr:rowOff>
        </xdr:from>
        <xdr:to>
          <xdr:col>2</xdr:col>
          <xdr:colOff>1476375</xdr:colOff>
          <xdr:row>0</xdr:row>
          <xdr:rowOff>704850</xdr:rowOff>
        </xdr:to>
        <xdr:sp macro="" textlink="">
          <xdr:nvSpPr>
            <xdr:cNvPr id="2049" name="CommandButton2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85725</xdr:colOff>
          <xdr:row>0</xdr:row>
          <xdr:rowOff>114300</xdr:rowOff>
        </xdr:from>
        <xdr:to>
          <xdr:col>2</xdr:col>
          <xdr:colOff>1476375</xdr:colOff>
          <xdr:row>0</xdr:row>
          <xdr:rowOff>704850</xdr:rowOff>
        </xdr:to>
        <xdr:sp macro="" textlink="">
          <xdr:nvSpPr>
            <xdr:cNvPr id="4097" name="CommandButton2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3.emf"/><Relationship Id="rId4" Type="http://schemas.openxmlformats.org/officeDocument/2006/relationships/control" Target="../activeX/activeX3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hyperlink" Target="mailto:otgm.irkutsk@yandex.ru" TargetMode="External"/><Relationship Id="rId2" Type="http://schemas.openxmlformats.org/officeDocument/2006/relationships/hyperlink" Target="mailto:kbosizo-1@yandex.ru" TargetMode="External"/><Relationship Id="rId1" Type="http://schemas.openxmlformats.org/officeDocument/2006/relationships/hyperlink" Target="mailto:PodlesskiyAO@baikalenergy.com" TargetMode="External"/><Relationship Id="rId5" Type="http://schemas.openxmlformats.org/officeDocument/2006/relationships/printerSettings" Target="../printerSettings/printerSettings5.bin"/><Relationship Id="rId4" Type="http://schemas.openxmlformats.org/officeDocument/2006/relationships/hyperlink" Target="mailto:promcompany@yandex.ru" TargetMode="Externa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Relationship Id="rId5" Type="http://schemas.openxmlformats.org/officeDocument/2006/relationships/image" Target="../media/image4.emf"/><Relationship Id="rId4" Type="http://schemas.openxmlformats.org/officeDocument/2006/relationships/control" Target="../activeX/activeX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"/>
  <dimension ref="A1:BX6"/>
  <sheetViews>
    <sheetView workbookViewId="0">
      <selection activeCell="H11" sqref="H11"/>
    </sheetView>
  </sheetViews>
  <sheetFormatPr defaultRowHeight="15" x14ac:dyDescent="0.25"/>
  <cols>
    <col min="1" max="1" width="27.28515625" customWidth="1"/>
    <col min="2" max="61" width="3.7109375" customWidth="1"/>
    <col min="62" max="76" width="10.42578125" bestFit="1" customWidth="1"/>
  </cols>
  <sheetData>
    <row r="1" spans="1:76" ht="111.75" customHeight="1" thickBot="1" x14ac:dyDescent="0.3">
      <c r="C1" s="39">
        <v>45658</v>
      </c>
      <c r="D1" s="39">
        <v>45659</v>
      </c>
      <c r="E1" s="39">
        <v>45660</v>
      </c>
      <c r="F1" s="39">
        <v>45661</v>
      </c>
      <c r="G1" s="39">
        <v>45662</v>
      </c>
      <c r="H1" s="39">
        <v>45663</v>
      </c>
      <c r="I1" s="39">
        <v>45664</v>
      </c>
      <c r="J1" s="39">
        <v>45665</v>
      </c>
      <c r="K1" s="39">
        <v>45666</v>
      </c>
      <c r="L1" s="39">
        <v>45667</v>
      </c>
      <c r="M1" s="39">
        <v>45668</v>
      </c>
      <c r="N1" s="39">
        <v>45669</v>
      </c>
      <c r="O1" s="39">
        <v>45670</v>
      </c>
      <c r="P1" s="39">
        <v>45671</v>
      </c>
      <c r="Q1" s="39">
        <v>45672</v>
      </c>
      <c r="R1" s="39">
        <v>45673</v>
      </c>
      <c r="S1" s="39">
        <v>45674</v>
      </c>
      <c r="T1" s="39">
        <v>45675</v>
      </c>
      <c r="U1" s="39">
        <v>45676</v>
      </c>
      <c r="V1" s="39">
        <v>45677</v>
      </c>
      <c r="W1" s="39">
        <v>45678</v>
      </c>
      <c r="X1" s="39">
        <v>45679</v>
      </c>
      <c r="Y1" s="39">
        <v>45680</v>
      </c>
      <c r="Z1" s="39">
        <v>45681</v>
      </c>
      <c r="AA1" s="39">
        <v>45682</v>
      </c>
      <c r="AB1" s="39">
        <v>45683</v>
      </c>
      <c r="AC1" s="39">
        <v>45684</v>
      </c>
      <c r="AD1" s="39">
        <v>45685</v>
      </c>
      <c r="AE1" s="39">
        <v>45686</v>
      </c>
      <c r="AF1" s="39">
        <v>45687</v>
      </c>
      <c r="AG1" s="39">
        <v>45688</v>
      </c>
      <c r="AH1" s="39">
        <v>45689</v>
      </c>
      <c r="AI1" s="39">
        <v>45690</v>
      </c>
      <c r="AJ1" s="39">
        <v>45691</v>
      </c>
      <c r="AK1" s="39">
        <v>45692</v>
      </c>
      <c r="AL1" s="39">
        <v>45693</v>
      </c>
      <c r="AM1" s="39">
        <v>45694</v>
      </c>
      <c r="AN1" s="39">
        <v>45695</v>
      </c>
      <c r="AO1" s="39">
        <v>45696</v>
      </c>
      <c r="AP1" s="39">
        <v>45697</v>
      </c>
      <c r="AQ1" s="39">
        <v>45698</v>
      </c>
      <c r="AR1" s="39">
        <v>45699</v>
      </c>
      <c r="AS1" s="39">
        <v>45700</v>
      </c>
      <c r="AT1" s="39">
        <v>45701</v>
      </c>
      <c r="AU1" s="39">
        <v>45702</v>
      </c>
      <c r="AV1" s="39">
        <v>45703</v>
      </c>
      <c r="AW1" s="39">
        <v>45704</v>
      </c>
      <c r="AX1" s="39">
        <v>45705</v>
      </c>
      <c r="AY1" s="39">
        <v>45706</v>
      </c>
      <c r="AZ1" s="39">
        <v>45707</v>
      </c>
      <c r="BA1" s="39">
        <v>45708</v>
      </c>
      <c r="BB1" s="39">
        <v>45709</v>
      </c>
      <c r="BC1" s="39">
        <v>45710</v>
      </c>
      <c r="BD1" s="39">
        <v>45711</v>
      </c>
      <c r="BE1" s="39">
        <v>45712</v>
      </c>
      <c r="BF1" s="39">
        <v>45713</v>
      </c>
      <c r="BG1" s="39">
        <v>45714</v>
      </c>
      <c r="BH1" s="39">
        <v>45715</v>
      </c>
      <c r="BI1" s="39">
        <v>45716</v>
      </c>
      <c r="BJ1" s="39"/>
      <c r="BK1" s="39"/>
      <c r="BL1" s="34">
        <v>48</v>
      </c>
      <c r="BM1" s="34">
        <v>49</v>
      </c>
      <c r="BN1" s="34">
        <v>50</v>
      </c>
      <c r="BO1" s="34">
        <v>51</v>
      </c>
      <c r="BP1" s="34">
        <v>52</v>
      </c>
      <c r="BQ1" s="34">
        <v>53</v>
      </c>
      <c r="BR1" s="34">
        <v>54</v>
      </c>
      <c r="BS1" s="34">
        <v>55</v>
      </c>
      <c r="BT1" s="34">
        <v>56</v>
      </c>
      <c r="BU1" s="34">
        <v>57</v>
      </c>
      <c r="BV1" s="34">
        <v>58</v>
      </c>
      <c r="BW1" s="34">
        <v>59</v>
      </c>
      <c r="BX1" s="34">
        <v>60</v>
      </c>
    </row>
    <row r="2" spans="1:76" x14ac:dyDescent="0.25">
      <c r="A2" t="s">
        <v>285</v>
      </c>
      <c r="C2" s="54" t="s">
        <v>160</v>
      </c>
    </row>
    <row r="3" spans="1:76" x14ac:dyDescent="0.25">
      <c r="A3" t="s">
        <v>285</v>
      </c>
      <c r="C3" s="57" t="s">
        <v>276</v>
      </c>
      <c r="D3" s="57"/>
      <c r="E3" s="57"/>
      <c r="F3" s="57"/>
      <c r="G3" s="57"/>
      <c r="H3" s="57"/>
      <c r="I3" s="57"/>
      <c r="J3" s="57"/>
      <c r="K3" s="57"/>
      <c r="L3" s="57"/>
      <c r="M3" s="57"/>
      <c r="N3" s="57"/>
      <c r="O3" s="57"/>
      <c r="P3" s="57"/>
      <c r="Q3" s="57"/>
      <c r="R3" s="57"/>
      <c r="S3" s="57"/>
      <c r="T3" s="57"/>
      <c r="U3" s="57"/>
      <c r="V3" s="57"/>
      <c r="W3" s="57"/>
    </row>
    <row r="4" spans="1:76" x14ac:dyDescent="0.25">
      <c r="A4" t="s">
        <v>285</v>
      </c>
      <c r="C4" s="58" t="s">
        <v>265</v>
      </c>
      <c r="D4" s="58"/>
      <c r="E4" s="58"/>
      <c r="F4" s="58"/>
      <c r="G4" s="58"/>
      <c r="H4" s="58"/>
      <c r="I4" s="58"/>
      <c r="J4" s="58"/>
      <c r="K4" s="58"/>
      <c r="L4" s="58"/>
      <c r="M4" s="58"/>
      <c r="N4" s="58"/>
      <c r="O4" s="58"/>
      <c r="P4" s="58"/>
      <c r="Q4" s="58"/>
      <c r="R4" s="58"/>
      <c r="S4" s="58"/>
      <c r="T4" s="58"/>
      <c r="U4" s="58"/>
      <c r="V4" s="58"/>
    </row>
    <row r="5" spans="1:76" x14ac:dyDescent="0.25">
      <c r="A5" t="s">
        <v>285</v>
      </c>
      <c r="L5" s="58" t="s">
        <v>274</v>
      </c>
      <c r="M5" s="58"/>
      <c r="N5" s="58"/>
      <c r="O5" s="58"/>
      <c r="P5" s="58"/>
      <c r="Q5" s="58"/>
      <c r="R5" s="58"/>
      <c r="S5" s="58"/>
      <c r="T5" s="58"/>
      <c r="U5" s="58"/>
      <c r="V5" s="58"/>
    </row>
    <row r="6" spans="1:76" x14ac:dyDescent="0.25">
      <c r="A6" t="s">
        <v>285</v>
      </c>
      <c r="C6" s="58" t="s">
        <v>243</v>
      </c>
      <c r="D6" s="58"/>
      <c r="E6" s="58"/>
      <c r="F6" s="58"/>
      <c r="G6" s="58"/>
      <c r="H6" s="58"/>
      <c r="I6" s="58"/>
      <c r="J6" s="58"/>
      <c r="K6" s="58"/>
      <c r="L6" s="58"/>
      <c r="M6" s="58"/>
      <c r="N6" s="58"/>
      <c r="O6" s="58"/>
      <c r="P6" s="58"/>
      <c r="Q6" s="58"/>
      <c r="R6" s="58"/>
      <c r="S6" s="58"/>
      <c r="T6" s="58"/>
      <c r="U6" s="58"/>
      <c r="V6" s="58"/>
    </row>
  </sheetData>
  <mergeCells count="4">
    <mergeCell ref="C3:W3"/>
    <mergeCell ref="C4:V4"/>
    <mergeCell ref="L5:V5"/>
    <mergeCell ref="C6:V6"/>
  </mergeCells>
  <pageMargins left="0.7" right="0.7" top="0.75" bottom="0.75" header="0.3" footer="0.3"/>
  <pageSetup paperSize="9" orientation="portrait" horizontalDpi="1200" verticalDpi="1200" r:id="rId1"/>
  <drawing r:id="rId2"/>
  <legacyDrawing r:id="rId3"/>
  <controls>
    <mc:AlternateContent xmlns:mc="http://schemas.openxmlformats.org/markup-compatibility/2006">
      <mc:Choice Requires="x14">
        <control shapeId="1027" r:id="rId4" name="CommandButton22">
          <controlPr defaultSize="0" autoLine="0" r:id="rId5">
            <anchor moveWithCells="1">
              <from>
                <xdr:col>0</xdr:col>
                <xdr:colOff>266700</xdr:colOff>
                <xdr:row>0</xdr:row>
                <xdr:rowOff>76200</xdr:rowOff>
              </from>
              <to>
                <xdr:col>0</xdr:col>
                <xdr:colOff>1447800</xdr:colOff>
                <xdr:row>0</xdr:row>
                <xdr:rowOff>619125</xdr:rowOff>
              </to>
            </anchor>
          </controlPr>
        </control>
      </mc:Choice>
      <mc:Fallback>
        <control shapeId="1027" r:id="rId4" name="CommandButton22"/>
      </mc:Fallback>
    </mc:AlternateContent>
    <mc:AlternateContent xmlns:mc="http://schemas.openxmlformats.org/markup-compatibility/2006">
      <mc:Choice Requires="x14">
        <control shapeId="1026" r:id="rId6" name="CommandButton21">
          <controlPr defaultSize="0" autoLine="0" r:id="rId7">
            <anchor moveWithCells="1">
              <from>
                <xdr:col>0</xdr:col>
                <xdr:colOff>447675</xdr:colOff>
                <xdr:row>0</xdr:row>
                <xdr:rowOff>723900</xdr:rowOff>
              </from>
              <to>
                <xdr:col>0</xdr:col>
                <xdr:colOff>1333500</xdr:colOff>
                <xdr:row>0</xdr:row>
                <xdr:rowOff>1276350</xdr:rowOff>
              </to>
            </anchor>
          </controlPr>
        </control>
      </mc:Choice>
      <mc:Fallback>
        <control shapeId="1026" r:id="rId6" name="CommandButton2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1">
    <pageSetUpPr fitToPage="1"/>
  </sheetPr>
  <dimension ref="A1:NP68"/>
  <sheetViews>
    <sheetView tabSelected="1" zoomScale="85" zoomScaleNormal="85" workbookViewId="0">
      <pane xSplit="14" ySplit="1" topLeftCell="O2" activePane="bottomRight" state="frozen"/>
      <selection pane="topRight" activeCell="N1" sqref="N1"/>
      <selection pane="bottomLeft" activeCell="A2" sqref="A2"/>
      <selection pane="bottomRight" activeCell="I13" sqref="I13"/>
    </sheetView>
  </sheetViews>
  <sheetFormatPr defaultRowHeight="15" x14ac:dyDescent="0.25"/>
  <cols>
    <col min="1" max="1" width="6" customWidth="1"/>
    <col min="2" max="2" width="9.85546875" customWidth="1"/>
    <col min="3" max="3" width="25.140625" style="21" customWidth="1"/>
    <col min="4" max="4" width="17" customWidth="1"/>
    <col min="5" max="5" width="22.5703125" customWidth="1"/>
    <col min="6" max="7" width="17.5703125" customWidth="1"/>
    <col min="8" max="8" width="17.7109375" customWidth="1"/>
    <col min="9" max="9" width="21.140625" customWidth="1"/>
    <col min="10" max="10" width="12.85546875" customWidth="1"/>
    <col min="11" max="11" width="22.7109375" customWidth="1"/>
    <col min="12" max="12" width="15.5703125" customWidth="1"/>
    <col min="13" max="13" width="9.85546875" customWidth="1"/>
    <col min="14" max="14" width="14.140625" customWidth="1"/>
    <col min="15" max="380" width="3.7109375" customWidth="1"/>
  </cols>
  <sheetData>
    <row r="1" spans="1:380" ht="78" thickBot="1" x14ac:dyDescent="0.3">
      <c r="A1" s="35" t="s">
        <v>281</v>
      </c>
      <c r="B1" s="36" t="s">
        <v>31</v>
      </c>
      <c r="C1" s="40" t="s">
        <v>282</v>
      </c>
      <c r="D1" s="40" t="s">
        <v>283</v>
      </c>
      <c r="E1" s="40" t="s">
        <v>284</v>
      </c>
      <c r="F1" s="40" t="s">
        <v>278</v>
      </c>
      <c r="G1" s="40" t="s">
        <v>287</v>
      </c>
      <c r="H1" s="36" t="s">
        <v>261</v>
      </c>
      <c r="I1" s="36" t="s">
        <v>2</v>
      </c>
      <c r="J1" s="36" t="s">
        <v>3</v>
      </c>
      <c r="K1" s="36" t="s">
        <v>1</v>
      </c>
      <c r="L1" s="36" t="s">
        <v>188</v>
      </c>
      <c r="M1" s="36" t="s">
        <v>237</v>
      </c>
      <c r="N1" s="37" t="s">
        <v>238</v>
      </c>
      <c r="O1" s="45" t="s">
        <v>275</v>
      </c>
      <c r="P1" s="46">
        <v>45658</v>
      </c>
      <c r="Q1" s="46">
        <v>45659</v>
      </c>
      <c r="R1" s="46">
        <v>45660</v>
      </c>
      <c r="S1" s="46">
        <v>45661</v>
      </c>
      <c r="T1" s="46">
        <v>45662</v>
      </c>
      <c r="U1" s="46">
        <v>45663</v>
      </c>
      <c r="V1" s="46">
        <v>45664</v>
      </c>
      <c r="W1" s="46">
        <v>45665</v>
      </c>
      <c r="X1" s="46">
        <v>45666</v>
      </c>
      <c r="Y1" s="46">
        <v>45667</v>
      </c>
      <c r="Z1" s="46">
        <v>45668</v>
      </c>
      <c r="AA1" s="46">
        <v>45669</v>
      </c>
      <c r="AB1" s="46">
        <v>45670</v>
      </c>
      <c r="AC1" s="46">
        <v>45671</v>
      </c>
      <c r="AD1" s="46">
        <v>45672</v>
      </c>
      <c r="AE1" s="46">
        <v>45673</v>
      </c>
      <c r="AF1" s="46">
        <v>45674</v>
      </c>
      <c r="AG1" s="46">
        <v>45675</v>
      </c>
      <c r="AH1" s="46">
        <v>45676</v>
      </c>
      <c r="AI1" s="46">
        <v>45677</v>
      </c>
      <c r="AJ1" s="46">
        <v>45678</v>
      </c>
      <c r="AK1" s="46">
        <v>45679</v>
      </c>
      <c r="AL1" s="46">
        <v>45680</v>
      </c>
      <c r="AM1" s="46">
        <v>45681</v>
      </c>
      <c r="AN1" s="46">
        <v>45682</v>
      </c>
      <c r="AO1" s="46">
        <v>45683</v>
      </c>
      <c r="AP1" s="46">
        <v>45684</v>
      </c>
      <c r="AQ1" s="46">
        <v>45685</v>
      </c>
      <c r="AR1" s="46">
        <v>45686</v>
      </c>
      <c r="AS1" s="46">
        <v>45687</v>
      </c>
      <c r="AT1" s="46">
        <v>45688</v>
      </c>
      <c r="AU1" s="46">
        <v>45689</v>
      </c>
      <c r="AV1" s="46">
        <v>45690</v>
      </c>
      <c r="AW1" s="46">
        <v>45691</v>
      </c>
      <c r="AX1" s="46">
        <v>45692</v>
      </c>
      <c r="AY1" s="46">
        <v>45693</v>
      </c>
      <c r="AZ1" s="46">
        <v>45694</v>
      </c>
      <c r="BA1" s="46">
        <v>45695</v>
      </c>
      <c r="BB1" s="46">
        <v>45696</v>
      </c>
      <c r="BC1" s="46">
        <v>45697</v>
      </c>
      <c r="BD1" s="46">
        <v>45698</v>
      </c>
      <c r="BE1" s="46">
        <v>45699</v>
      </c>
      <c r="BF1" s="46">
        <v>45700</v>
      </c>
      <c r="BG1" s="46">
        <v>45701</v>
      </c>
      <c r="BH1" s="46">
        <v>45702</v>
      </c>
      <c r="BI1" s="46">
        <v>45703</v>
      </c>
      <c r="BJ1" s="46">
        <v>45704</v>
      </c>
      <c r="BK1" s="46">
        <v>45705</v>
      </c>
      <c r="BL1" s="46">
        <v>45706</v>
      </c>
      <c r="BM1" s="46">
        <v>45707</v>
      </c>
      <c r="BN1" s="46">
        <v>45708</v>
      </c>
      <c r="BO1" s="46">
        <v>45709</v>
      </c>
      <c r="BP1" s="46">
        <v>45710</v>
      </c>
      <c r="BQ1" s="46">
        <v>45711</v>
      </c>
      <c r="BR1" s="46">
        <v>45712</v>
      </c>
      <c r="BS1" s="46">
        <v>45713</v>
      </c>
      <c r="BT1" s="46">
        <v>45714</v>
      </c>
      <c r="BU1" s="46">
        <v>45715</v>
      </c>
      <c r="BV1" s="47">
        <v>45716</v>
      </c>
      <c r="BW1" s="47">
        <v>45717</v>
      </c>
      <c r="BX1" s="47">
        <v>45718</v>
      </c>
      <c r="BY1" s="47">
        <v>45719</v>
      </c>
      <c r="BZ1" s="47">
        <v>45720</v>
      </c>
      <c r="CA1" s="47">
        <v>45721</v>
      </c>
      <c r="CB1" s="47">
        <v>45722</v>
      </c>
      <c r="CC1" s="47">
        <v>45723</v>
      </c>
      <c r="CD1" s="47">
        <v>45724</v>
      </c>
      <c r="CE1" s="47">
        <v>45725</v>
      </c>
      <c r="CF1" s="47">
        <v>45726</v>
      </c>
      <c r="CG1" s="47">
        <v>45727</v>
      </c>
      <c r="CH1" s="47">
        <v>45728</v>
      </c>
      <c r="CI1" s="47">
        <v>45729</v>
      </c>
      <c r="CJ1" s="47">
        <v>45730</v>
      </c>
      <c r="CK1" s="47">
        <v>45731</v>
      </c>
      <c r="CL1" s="47">
        <v>45732</v>
      </c>
      <c r="CM1" s="47">
        <v>45733</v>
      </c>
      <c r="CN1" s="47">
        <v>45734</v>
      </c>
      <c r="CO1" s="47">
        <v>45735</v>
      </c>
      <c r="CP1" s="47">
        <v>45736</v>
      </c>
      <c r="CQ1" s="47">
        <v>45737</v>
      </c>
      <c r="CR1" s="47">
        <v>45738</v>
      </c>
      <c r="CS1" s="47">
        <v>45739</v>
      </c>
      <c r="CT1" s="47">
        <v>45740</v>
      </c>
      <c r="CU1" s="47">
        <v>45741</v>
      </c>
      <c r="CV1" s="47">
        <v>45742</v>
      </c>
      <c r="CW1" s="47">
        <v>45743</v>
      </c>
      <c r="CX1" s="47">
        <v>45744</v>
      </c>
      <c r="CY1" s="47">
        <v>45745</v>
      </c>
      <c r="CZ1" s="47">
        <v>45746</v>
      </c>
      <c r="DA1" s="47">
        <v>45747</v>
      </c>
      <c r="DB1" s="47">
        <v>45748</v>
      </c>
      <c r="DC1" s="47">
        <v>45749</v>
      </c>
      <c r="DD1" s="47">
        <v>45750</v>
      </c>
      <c r="DE1" s="47">
        <v>45751</v>
      </c>
      <c r="DF1" s="47">
        <v>45752</v>
      </c>
      <c r="DG1" s="47">
        <v>45753</v>
      </c>
      <c r="DH1" s="47">
        <v>45754</v>
      </c>
      <c r="DI1" s="47">
        <v>45755</v>
      </c>
      <c r="DJ1" s="47">
        <v>45756</v>
      </c>
      <c r="DK1" s="47">
        <v>45757</v>
      </c>
      <c r="DL1" s="47">
        <v>45758</v>
      </c>
      <c r="DM1" s="47">
        <v>45759</v>
      </c>
      <c r="DN1" s="47">
        <v>45760</v>
      </c>
      <c r="DO1" s="47">
        <v>45761</v>
      </c>
      <c r="DP1" s="47">
        <v>45762</v>
      </c>
      <c r="DQ1" s="47">
        <v>45763</v>
      </c>
      <c r="DR1" s="47">
        <v>45764</v>
      </c>
      <c r="DS1" s="47">
        <v>45765</v>
      </c>
      <c r="DT1" s="47">
        <v>45766</v>
      </c>
      <c r="DU1" s="47">
        <v>45767</v>
      </c>
      <c r="DV1" s="47">
        <v>45768</v>
      </c>
      <c r="DW1" s="47">
        <v>45769</v>
      </c>
      <c r="DX1" s="47">
        <v>45770</v>
      </c>
      <c r="DY1" s="47">
        <v>45771</v>
      </c>
      <c r="DZ1" s="47">
        <v>45772</v>
      </c>
      <c r="EA1" s="47">
        <v>45773</v>
      </c>
      <c r="EB1" s="47">
        <v>45774</v>
      </c>
      <c r="EC1" s="47">
        <v>45775</v>
      </c>
      <c r="ED1" s="47">
        <v>45776</v>
      </c>
      <c r="EE1" s="47">
        <v>45777</v>
      </c>
      <c r="EF1" s="47">
        <v>45778</v>
      </c>
      <c r="EG1" s="47">
        <v>45779</v>
      </c>
      <c r="EH1" s="47">
        <v>45780</v>
      </c>
      <c r="EI1" s="47">
        <v>45781</v>
      </c>
      <c r="EJ1" s="47">
        <v>45782</v>
      </c>
      <c r="EK1" s="47">
        <v>45783</v>
      </c>
      <c r="EL1" s="47">
        <v>45784</v>
      </c>
      <c r="EM1" s="47">
        <v>45785</v>
      </c>
      <c r="EN1" s="47">
        <v>45786</v>
      </c>
      <c r="EO1" s="47">
        <v>45787</v>
      </c>
      <c r="EP1" s="47">
        <v>45788</v>
      </c>
      <c r="EQ1" s="47">
        <v>45789</v>
      </c>
      <c r="ER1" s="47">
        <v>45790</v>
      </c>
      <c r="ES1" s="47">
        <v>45791</v>
      </c>
      <c r="ET1" s="47">
        <v>45792</v>
      </c>
      <c r="EU1" s="47">
        <v>45793</v>
      </c>
      <c r="EV1" s="47">
        <v>45794</v>
      </c>
      <c r="EW1" s="47">
        <v>45795</v>
      </c>
      <c r="EX1" s="47">
        <v>45796</v>
      </c>
      <c r="EY1" s="47">
        <v>45797</v>
      </c>
      <c r="EZ1" s="47">
        <v>45798</v>
      </c>
      <c r="FA1" s="47">
        <v>45799</v>
      </c>
      <c r="FB1" s="47">
        <v>45800</v>
      </c>
      <c r="FC1" s="47">
        <v>45801</v>
      </c>
      <c r="FD1" s="47">
        <v>45802</v>
      </c>
      <c r="FE1" s="47">
        <v>45803</v>
      </c>
      <c r="FF1" s="47">
        <v>45804</v>
      </c>
      <c r="FG1" s="47">
        <v>45805</v>
      </c>
      <c r="FH1" s="47">
        <v>45806</v>
      </c>
      <c r="FI1" s="47">
        <v>45807</v>
      </c>
      <c r="FJ1" s="47">
        <v>45808</v>
      </c>
      <c r="FK1" s="47">
        <v>45809</v>
      </c>
      <c r="FL1" s="47">
        <v>45810</v>
      </c>
      <c r="FM1" s="47">
        <v>45811</v>
      </c>
      <c r="FN1" s="47">
        <v>45812</v>
      </c>
      <c r="FO1" s="47">
        <v>45813</v>
      </c>
      <c r="FP1" s="47">
        <v>45814</v>
      </c>
      <c r="FQ1" s="47">
        <v>45815</v>
      </c>
      <c r="FR1" s="47">
        <v>45816</v>
      </c>
      <c r="FS1" s="47">
        <v>45817</v>
      </c>
      <c r="FT1" s="47">
        <v>45818</v>
      </c>
      <c r="FU1" s="47">
        <v>45819</v>
      </c>
      <c r="FV1" s="47">
        <v>45820</v>
      </c>
      <c r="FW1" s="47">
        <v>45821</v>
      </c>
      <c r="FX1" s="47">
        <v>45822</v>
      </c>
      <c r="FY1" s="47">
        <v>45823</v>
      </c>
      <c r="FZ1" s="47">
        <v>45824</v>
      </c>
      <c r="GA1" s="47">
        <v>45825</v>
      </c>
      <c r="GB1" s="47">
        <v>45826</v>
      </c>
      <c r="GC1" s="47">
        <v>45827</v>
      </c>
      <c r="GD1" s="47">
        <v>45828</v>
      </c>
      <c r="GE1" s="47">
        <v>45829</v>
      </c>
      <c r="GF1" s="47">
        <v>45830</v>
      </c>
      <c r="GG1" s="47">
        <v>45831</v>
      </c>
      <c r="GH1" s="47">
        <v>45832</v>
      </c>
      <c r="GI1" s="47">
        <v>45833</v>
      </c>
      <c r="GJ1" s="47">
        <v>45834</v>
      </c>
      <c r="GK1" s="47">
        <v>45835</v>
      </c>
      <c r="GL1" s="47">
        <v>45836</v>
      </c>
      <c r="GM1" s="47">
        <v>45837</v>
      </c>
      <c r="GN1" s="47">
        <v>45838</v>
      </c>
      <c r="GO1" s="47">
        <v>45839</v>
      </c>
      <c r="GP1" s="47">
        <v>45840</v>
      </c>
      <c r="GQ1" s="47">
        <v>45841</v>
      </c>
      <c r="GR1" s="47">
        <v>45842</v>
      </c>
      <c r="GS1" s="47">
        <v>45843</v>
      </c>
      <c r="GT1" s="47">
        <v>45844</v>
      </c>
      <c r="GU1" s="47">
        <v>45845</v>
      </c>
      <c r="GV1" s="47">
        <v>45846</v>
      </c>
      <c r="GW1" s="47">
        <v>45847</v>
      </c>
      <c r="GX1" s="47">
        <v>45848</v>
      </c>
      <c r="GY1" s="47">
        <v>45849</v>
      </c>
      <c r="GZ1" s="47">
        <v>45850</v>
      </c>
      <c r="HA1" s="47">
        <v>45851</v>
      </c>
      <c r="HB1" s="47">
        <v>45852</v>
      </c>
      <c r="HC1" s="47">
        <v>45853</v>
      </c>
      <c r="HD1" s="47">
        <v>45854</v>
      </c>
      <c r="HE1" s="47">
        <v>45855</v>
      </c>
      <c r="HF1" s="47">
        <v>45856</v>
      </c>
      <c r="HG1" s="47">
        <v>45857</v>
      </c>
      <c r="HH1" s="47">
        <v>45858</v>
      </c>
      <c r="HI1" s="47">
        <v>45859</v>
      </c>
      <c r="HJ1" s="47">
        <v>45860</v>
      </c>
      <c r="HK1" s="47">
        <v>45861</v>
      </c>
      <c r="HL1" s="47">
        <v>45862</v>
      </c>
      <c r="HM1" s="47">
        <v>45863</v>
      </c>
      <c r="HN1" s="47">
        <v>45864</v>
      </c>
      <c r="HO1" s="47">
        <v>45865</v>
      </c>
      <c r="HP1" s="47">
        <v>45866</v>
      </c>
      <c r="HQ1" s="47">
        <v>45867</v>
      </c>
      <c r="HR1" s="47">
        <v>45868</v>
      </c>
      <c r="HS1" s="47">
        <v>45869</v>
      </c>
      <c r="HT1" s="47">
        <v>45870</v>
      </c>
      <c r="HU1" s="47">
        <v>45871</v>
      </c>
      <c r="HV1" s="47">
        <v>45872</v>
      </c>
      <c r="HW1" s="47">
        <v>45873</v>
      </c>
      <c r="HX1" s="47">
        <v>45874</v>
      </c>
      <c r="HY1" s="47">
        <v>45875</v>
      </c>
      <c r="HZ1" s="47">
        <v>45876</v>
      </c>
      <c r="IA1" s="47">
        <v>45877</v>
      </c>
      <c r="IB1" s="47">
        <v>45878</v>
      </c>
      <c r="IC1" s="47">
        <v>45879</v>
      </c>
      <c r="ID1" s="47">
        <v>45880</v>
      </c>
      <c r="IE1" s="47">
        <v>45881</v>
      </c>
      <c r="IF1" s="47">
        <v>45882</v>
      </c>
      <c r="IG1" s="47">
        <v>45883</v>
      </c>
      <c r="IH1" s="47">
        <v>45884</v>
      </c>
      <c r="II1" s="47">
        <v>45885</v>
      </c>
      <c r="IJ1" s="47">
        <v>45886</v>
      </c>
      <c r="IK1" s="47">
        <v>45887</v>
      </c>
      <c r="IL1" s="47">
        <v>45888</v>
      </c>
      <c r="IM1" s="47">
        <v>45889</v>
      </c>
      <c r="IN1" s="47">
        <v>45890</v>
      </c>
      <c r="IO1" s="47">
        <v>45891</v>
      </c>
      <c r="IP1" s="47">
        <v>45892</v>
      </c>
      <c r="IQ1" s="47">
        <v>45893</v>
      </c>
      <c r="IR1" s="47">
        <v>45894</v>
      </c>
      <c r="IS1" s="47">
        <v>45895</v>
      </c>
      <c r="IT1" s="47">
        <v>45896</v>
      </c>
      <c r="IU1" s="47">
        <v>45897</v>
      </c>
      <c r="IV1" s="47">
        <v>45898</v>
      </c>
      <c r="IW1" s="47">
        <v>45899</v>
      </c>
      <c r="IX1" s="47">
        <v>45900</v>
      </c>
      <c r="IY1" s="47">
        <v>45901</v>
      </c>
      <c r="IZ1" s="47">
        <v>45902</v>
      </c>
      <c r="JA1" s="47">
        <v>45903</v>
      </c>
      <c r="JB1" s="47">
        <v>45904</v>
      </c>
      <c r="JC1" s="47">
        <v>45905</v>
      </c>
      <c r="JD1" s="47">
        <v>45906</v>
      </c>
      <c r="JE1" s="47">
        <v>45907</v>
      </c>
      <c r="JF1" s="47">
        <v>45908</v>
      </c>
      <c r="JG1" s="47">
        <v>45909</v>
      </c>
      <c r="JH1" s="47">
        <v>45910</v>
      </c>
      <c r="JI1" s="47">
        <v>45911</v>
      </c>
      <c r="JJ1" s="47">
        <v>45912</v>
      </c>
      <c r="JK1" s="47">
        <v>45913</v>
      </c>
      <c r="JL1" s="47">
        <v>45914</v>
      </c>
      <c r="JM1" s="47">
        <v>45915</v>
      </c>
      <c r="JN1" s="47">
        <v>45916</v>
      </c>
      <c r="JO1" s="47">
        <v>45917</v>
      </c>
      <c r="JP1" s="47">
        <v>45918</v>
      </c>
      <c r="JQ1" s="47">
        <v>45919</v>
      </c>
      <c r="JR1" s="47">
        <v>45920</v>
      </c>
      <c r="JS1" s="47">
        <v>45921</v>
      </c>
      <c r="JT1" s="47">
        <v>45922</v>
      </c>
      <c r="JU1" s="47">
        <v>45923</v>
      </c>
      <c r="JV1" s="47">
        <v>45924</v>
      </c>
      <c r="JW1" s="47">
        <v>45925</v>
      </c>
      <c r="JX1" s="47">
        <v>45926</v>
      </c>
      <c r="JY1" s="47">
        <v>45927</v>
      </c>
      <c r="JZ1" s="47">
        <v>45928</v>
      </c>
      <c r="KA1" s="47">
        <v>45929</v>
      </c>
      <c r="KB1" s="47">
        <v>45930</v>
      </c>
      <c r="KC1" s="47">
        <v>45931</v>
      </c>
      <c r="KD1" s="47">
        <v>45932</v>
      </c>
      <c r="KE1" s="47">
        <v>45933</v>
      </c>
      <c r="KF1" s="47">
        <v>45934</v>
      </c>
      <c r="KG1" s="47">
        <v>45935</v>
      </c>
      <c r="KH1" s="47">
        <v>45936</v>
      </c>
      <c r="KI1" s="47">
        <v>45937</v>
      </c>
      <c r="KJ1" s="47">
        <v>45938</v>
      </c>
      <c r="KK1" s="47">
        <v>45939</v>
      </c>
      <c r="KL1" s="47">
        <v>45940</v>
      </c>
      <c r="KM1" s="47">
        <v>45941</v>
      </c>
      <c r="KN1" s="47">
        <v>45942</v>
      </c>
      <c r="KO1" s="47">
        <v>45943</v>
      </c>
      <c r="KP1" s="47">
        <v>45944</v>
      </c>
      <c r="KQ1" s="47">
        <v>45945</v>
      </c>
      <c r="KR1" s="47">
        <v>45946</v>
      </c>
      <c r="KS1" s="47">
        <v>45947</v>
      </c>
      <c r="KT1" s="47">
        <v>45948</v>
      </c>
      <c r="KU1" s="47">
        <v>45949</v>
      </c>
      <c r="KV1" s="47">
        <v>45950</v>
      </c>
      <c r="KW1" s="47">
        <v>45951</v>
      </c>
      <c r="KX1" s="47">
        <v>45952</v>
      </c>
      <c r="KY1" s="47">
        <v>45953</v>
      </c>
      <c r="KZ1" s="47">
        <v>45954</v>
      </c>
      <c r="LA1" s="47">
        <v>45955</v>
      </c>
      <c r="LB1" s="47">
        <v>45956</v>
      </c>
      <c r="LC1" s="47">
        <v>45957</v>
      </c>
      <c r="LD1" s="47">
        <v>45958</v>
      </c>
      <c r="LE1" s="47">
        <v>45959</v>
      </c>
      <c r="LF1" s="47">
        <v>45960</v>
      </c>
      <c r="LG1" s="47">
        <v>45961</v>
      </c>
      <c r="LH1" s="47">
        <v>45962</v>
      </c>
      <c r="LI1" s="47">
        <v>45963</v>
      </c>
      <c r="LJ1" s="47">
        <v>45964</v>
      </c>
      <c r="LK1" s="47">
        <v>45965</v>
      </c>
      <c r="LL1" s="47">
        <v>45966</v>
      </c>
      <c r="LM1" s="47">
        <v>45967</v>
      </c>
      <c r="LN1" s="47">
        <v>45968</v>
      </c>
      <c r="LO1" s="47">
        <v>45969</v>
      </c>
      <c r="LP1" s="47">
        <v>45970</v>
      </c>
      <c r="LQ1" s="47">
        <v>45971</v>
      </c>
      <c r="LR1" s="47">
        <v>45972</v>
      </c>
      <c r="LS1" s="47">
        <v>45973</v>
      </c>
      <c r="LT1" s="47">
        <v>45974</v>
      </c>
      <c r="LU1" s="47">
        <v>45975</v>
      </c>
      <c r="LV1" s="47">
        <v>45976</v>
      </c>
      <c r="LW1" s="47">
        <v>45977</v>
      </c>
      <c r="LX1" s="47">
        <v>45978</v>
      </c>
      <c r="LY1" s="47">
        <v>45979</v>
      </c>
      <c r="LZ1" s="47">
        <v>45980</v>
      </c>
      <c r="MA1" s="47">
        <v>45981</v>
      </c>
      <c r="MB1" s="47">
        <v>45982</v>
      </c>
      <c r="MC1" s="47">
        <v>45983</v>
      </c>
      <c r="MD1" s="47">
        <v>45984</v>
      </c>
      <c r="ME1" s="47">
        <v>45985</v>
      </c>
      <c r="MF1" s="47">
        <v>45986</v>
      </c>
      <c r="MG1" s="47">
        <v>45987</v>
      </c>
      <c r="MH1" s="47">
        <v>45988</v>
      </c>
      <c r="MI1" s="47">
        <v>45989</v>
      </c>
      <c r="MJ1" s="47">
        <v>45990</v>
      </c>
      <c r="MK1" s="47">
        <v>45991</v>
      </c>
      <c r="ML1" s="47">
        <v>45992</v>
      </c>
      <c r="MM1" s="47">
        <v>45993</v>
      </c>
      <c r="MN1" s="47">
        <v>45994</v>
      </c>
      <c r="MO1" s="47">
        <v>45995</v>
      </c>
      <c r="MP1" s="47">
        <v>45996</v>
      </c>
      <c r="MQ1" s="47">
        <v>45997</v>
      </c>
      <c r="MR1" s="47">
        <v>45998</v>
      </c>
      <c r="MS1" s="47">
        <v>45999</v>
      </c>
      <c r="MT1" s="47">
        <v>46000</v>
      </c>
      <c r="MU1" s="47">
        <v>46001</v>
      </c>
      <c r="MV1" s="47">
        <v>46002</v>
      </c>
      <c r="MW1" s="47">
        <v>46003</v>
      </c>
      <c r="MX1" s="47">
        <v>46004</v>
      </c>
      <c r="MY1" s="47">
        <v>46005</v>
      </c>
      <c r="MZ1" s="47">
        <v>46006</v>
      </c>
      <c r="NA1" s="47">
        <v>46007</v>
      </c>
      <c r="NB1" s="47">
        <v>46008</v>
      </c>
      <c r="NC1" s="47">
        <v>46009</v>
      </c>
      <c r="ND1" s="47">
        <v>46010</v>
      </c>
      <c r="NE1" s="47">
        <v>46011</v>
      </c>
      <c r="NF1" s="47">
        <v>46012</v>
      </c>
      <c r="NG1" s="47">
        <v>46013</v>
      </c>
      <c r="NH1" s="47">
        <v>46014</v>
      </c>
      <c r="NI1" s="47">
        <v>46015</v>
      </c>
      <c r="NJ1" s="47">
        <v>46016</v>
      </c>
      <c r="NK1" s="47">
        <v>46017</v>
      </c>
      <c r="NL1" s="47">
        <v>46018</v>
      </c>
      <c r="NM1" s="47">
        <v>46019</v>
      </c>
      <c r="NN1" s="47">
        <v>46020</v>
      </c>
      <c r="NO1" s="47">
        <v>46021</v>
      </c>
      <c r="NP1" s="47">
        <v>46022</v>
      </c>
    </row>
    <row r="2" spans="1:380" x14ac:dyDescent="0.25">
      <c r="A2" s="42"/>
      <c r="B2" s="42"/>
      <c r="C2" s="41"/>
      <c r="D2" s="48"/>
      <c r="E2" s="48"/>
      <c r="F2" s="42"/>
      <c r="G2" s="42"/>
      <c r="H2" s="42"/>
      <c r="I2" s="42"/>
      <c r="J2" s="42"/>
      <c r="K2" s="42"/>
      <c r="L2" s="42"/>
      <c r="M2" s="42"/>
      <c r="N2" s="42"/>
    </row>
    <row r="3" spans="1:380" x14ac:dyDescent="0.25">
      <c r="A3" s="42"/>
      <c r="B3" s="42"/>
      <c r="C3" s="42"/>
      <c r="H3" s="42"/>
      <c r="I3" s="42"/>
      <c r="J3" s="42"/>
      <c r="K3" s="42"/>
      <c r="L3" s="42"/>
      <c r="M3" s="42"/>
      <c r="N3" s="42"/>
    </row>
    <row r="4" spans="1:380" x14ac:dyDescent="0.25">
      <c r="A4" s="42"/>
      <c r="B4" s="42"/>
      <c r="C4" s="42"/>
      <c r="D4" s="42"/>
      <c r="E4" s="42"/>
      <c r="F4" s="42"/>
      <c r="G4" s="42"/>
      <c r="H4" s="42"/>
      <c r="I4" s="42"/>
      <c r="J4" s="42"/>
      <c r="K4" s="42"/>
      <c r="L4" s="42"/>
      <c r="M4" s="42"/>
      <c r="N4" s="42"/>
    </row>
    <row r="5" spans="1:380" x14ac:dyDescent="0.25">
      <c r="A5" s="42"/>
      <c r="B5" s="42"/>
      <c r="C5" s="42"/>
      <c r="D5" s="42"/>
      <c r="E5" s="42"/>
      <c r="F5" s="42"/>
      <c r="G5" s="42"/>
      <c r="H5" s="42"/>
      <c r="I5" s="42"/>
      <c r="J5" s="42"/>
      <c r="K5" s="42"/>
      <c r="L5" s="42"/>
      <c r="M5" s="42"/>
      <c r="N5" s="42"/>
    </row>
    <row r="6" spans="1:380" x14ac:dyDescent="0.25">
      <c r="A6" s="42"/>
      <c r="B6" s="42"/>
      <c r="C6" s="42"/>
      <c r="D6" s="42"/>
      <c r="E6" s="42"/>
      <c r="F6" s="42"/>
      <c r="G6" s="42"/>
      <c r="H6" s="42"/>
      <c r="I6" s="42"/>
      <c r="J6" s="42"/>
      <c r="K6" s="42"/>
      <c r="L6" s="42"/>
      <c r="M6" s="42"/>
      <c r="N6" s="42"/>
    </row>
    <row r="7" spans="1:380" x14ac:dyDescent="0.25">
      <c r="A7" s="42"/>
      <c r="B7" s="42"/>
      <c r="C7" s="42"/>
      <c r="D7" s="42"/>
      <c r="E7" s="42"/>
      <c r="F7" s="42"/>
      <c r="G7" s="42"/>
      <c r="H7" s="42"/>
      <c r="I7" s="42"/>
      <c r="J7" s="42"/>
      <c r="K7" s="42"/>
      <c r="L7" s="42"/>
      <c r="M7" s="42"/>
      <c r="N7" s="42"/>
    </row>
    <row r="8" spans="1:380" x14ac:dyDescent="0.25">
      <c r="A8" s="42"/>
      <c r="B8" s="42"/>
      <c r="C8" s="42"/>
      <c r="D8" s="42"/>
      <c r="E8" s="42"/>
      <c r="F8" s="42"/>
      <c r="G8" s="42"/>
      <c r="H8" s="42"/>
      <c r="I8" s="42"/>
      <c r="J8" s="42"/>
      <c r="K8" s="42"/>
      <c r="L8" s="42"/>
      <c r="M8" s="42"/>
      <c r="N8" s="42"/>
    </row>
    <row r="9" spans="1:380" x14ac:dyDescent="0.25">
      <c r="A9" s="42"/>
      <c r="B9" s="42"/>
      <c r="C9" s="42"/>
      <c r="D9" s="43"/>
      <c r="E9" s="43"/>
      <c r="F9" s="42"/>
      <c r="G9" s="42"/>
      <c r="H9" s="42"/>
      <c r="I9" s="42"/>
      <c r="J9" s="42"/>
      <c r="K9" s="42"/>
      <c r="L9" s="42"/>
      <c r="M9" s="42"/>
      <c r="N9" s="42"/>
    </row>
    <row r="10" spans="1:380" x14ac:dyDescent="0.25">
      <c r="A10" s="42"/>
      <c r="B10" s="42"/>
      <c r="C10" s="42"/>
      <c r="D10" s="42"/>
      <c r="E10" s="42"/>
      <c r="F10" s="42"/>
      <c r="G10" s="42"/>
      <c r="H10" s="42"/>
      <c r="I10" s="42"/>
      <c r="J10" s="42"/>
      <c r="K10" s="42"/>
      <c r="L10" s="42"/>
      <c r="M10" s="42"/>
      <c r="N10" s="42"/>
    </row>
    <row r="11" spans="1:380" x14ac:dyDescent="0.25">
      <c r="A11" s="42"/>
      <c r="B11" s="42"/>
      <c r="C11" s="42"/>
      <c r="D11" s="42"/>
      <c r="E11" s="42"/>
      <c r="F11" s="42"/>
      <c r="G11" s="42"/>
      <c r="H11" s="42"/>
      <c r="I11" s="42"/>
      <c r="J11" s="42"/>
      <c r="K11" s="42"/>
      <c r="L11" s="42"/>
      <c r="M11" s="42"/>
      <c r="N11" s="42"/>
    </row>
    <row r="12" spans="1:380" x14ac:dyDescent="0.25">
      <c r="A12" s="42"/>
      <c r="B12" s="42"/>
      <c r="C12" s="42"/>
      <c r="D12" s="42"/>
      <c r="E12" s="42"/>
      <c r="F12" s="42"/>
      <c r="G12" s="42"/>
      <c r="H12" s="42"/>
      <c r="I12" s="42"/>
      <c r="J12" s="42"/>
      <c r="K12" s="42"/>
      <c r="L12" s="42"/>
      <c r="M12" s="42"/>
      <c r="N12" s="42"/>
    </row>
    <row r="13" spans="1:380" x14ac:dyDescent="0.25">
      <c r="A13" s="42"/>
      <c r="B13" s="42"/>
      <c r="C13" s="42"/>
      <c r="D13" s="42"/>
      <c r="E13" s="42"/>
      <c r="F13" s="42"/>
      <c r="G13" s="42"/>
      <c r="H13" s="42"/>
      <c r="I13" s="42"/>
      <c r="J13" s="42"/>
      <c r="K13" s="42"/>
      <c r="L13" s="42"/>
      <c r="M13" s="42"/>
      <c r="N13" s="42"/>
    </row>
    <row r="14" spans="1:380" x14ac:dyDescent="0.25">
      <c r="A14" s="42"/>
      <c r="B14" s="42"/>
      <c r="C14" s="42"/>
      <c r="D14" s="42"/>
      <c r="E14" s="42"/>
      <c r="F14" s="42"/>
      <c r="G14" s="42"/>
      <c r="H14" s="42"/>
      <c r="I14" s="42"/>
      <c r="J14" s="42"/>
      <c r="K14" s="42"/>
      <c r="L14" s="42"/>
      <c r="M14" s="42"/>
      <c r="N14" s="42"/>
    </row>
    <row r="15" spans="1:380" x14ac:dyDescent="0.25">
      <c r="A15" s="42"/>
      <c r="B15" s="42"/>
      <c r="C15" s="42"/>
      <c r="D15" s="42"/>
      <c r="E15" s="42"/>
      <c r="F15" s="42"/>
      <c r="G15" s="42"/>
      <c r="H15" s="42"/>
      <c r="I15" s="42"/>
      <c r="J15" s="42"/>
      <c r="K15" s="42"/>
      <c r="L15" s="42"/>
      <c r="M15" s="42"/>
      <c r="N15" s="42"/>
    </row>
    <row r="16" spans="1:380" x14ac:dyDescent="0.25">
      <c r="A16" s="42"/>
      <c r="B16" s="42"/>
      <c r="C16" s="42"/>
      <c r="D16" s="42"/>
      <c r="E16" s="42"/>
      <c r="F16" s="50"/>
      <c r="G16" s="50"/>
      <c r="H16" s="50"/>
      <c r="I16" s="42"/>
      <c r="J16" s="42"/>
      <c r="K16" s="42"/>
      <c r="L16" s="42"/>
      <c r="M16" s="42"/>
      <c r="N16" s="42"/>
    </row>
    <row r="17" spans="1:14" x14ac:dyDescent="0.25">
      <c r="A17" s="42"/>
      <c r="B17" s="42"/>
      <c r="C17" s="42"/>
      <c r="D17" s="42"/>
      <c r="E17" s="42"/>
      <c r="F17" s="50"/>
      <c r="G17" s="50"/>
      <c r="H17" s="50"/>
      <c r="I17" s="42"/>
      <c r="J17" s="42"/>
      <c r="K17" s="42"/>
      <c r="L17" s="42"/>
      <c r="M17" s="42"/>
      <c r="N17" s="42"/>
    </row>
    <row r="18" spans="1:14" x14ac:dyDescent="0.25">
      <c r="A18" s="42"/>
      <c r="B18" s="42"/>
      <c r="C18" s="42"/>
      <c r="D18" s="42"/>
      <c r="E18" s="42"/>
      <c r="F18" s="50"/>
      <c r="G18" s="50"/>
      <c r="H18" s="50"/>
      <c r="I18" s="42"/>
      <c r="J18" s="42"/>
      <c r="K18" s="42"/>
      <c r="L18" s="42"/>
      <c r="M18" s="42"/>
      <c r="N18" s="42"/>
    </row>
    <row r="19" spans="1:14" x14ac:dyDescent="0.25">
      <c r="A19" s="42"/>
      <c r="B19" s="42"/>
      <c r="C19" s="42"/>
      <c r="D19" s="43"/>
      <c r="E19" s="43"/>
      <c r="F19" s="50"/>
      <c r="G19" s="43"/>
      <c r="H19" s="50"/>
      <c r="I19" s="42"/>
      <c r="J19" s="42"/>
      <c r="K19" s="42"/>
      <c r="L19" s="42"/>
      <c r="M19" s="42"/>
      <c r="N19" s="42"/>
    </row>
    <row r="20" spans="1:14" x14ac:dyDescent="0.25">
      <c r="A20" s="42"/>
      <c r="B20" s="42"/>
      <c r="C20" s="42"/>
      <c r="D20" s="42"/>
      <c r="E20" s="42"/>
      <c r="F20" s="50"/>
      <c r="G20" s="50"/>
      <c r="H20" s="50"/>
      <c r="I20" s="42"/>
      <c r="J20" s="42"/>
      <c r="K20" s="42"/>
      <c r="L20" s="42"/>
      <c r="M20" s="42"/>
      <c r="N20" s="42"/>
    </row>
    <row r="21" spans="1:14" x14ac:dyDescent="0.25">
      <c r="A21" s="42"/>
      <c r="B21" s="42"/>
      <c r="C21" s="42"/>
      <c r="D21" s="43"/>
      <c r="E21" s="43"/>
      <c r="F21" s="50"/>
      <c r="G21" s="43"/>
      <c r="H21" s="50"/>
      <c r="I21" s="42"/>
      <c r="J21" s="42"/>
      <c r="K21" s="42"/>
      <c r="L21" s="42"/>
      <c r="M21" s="42"/>
      <c r="N21" s="42"/>
    </row>
    <row r="22" spans="1:14" x14ac:dyDescent="0.25">
      <c r="A22" s="42"/>
      <c r="B22" s="42"/>
      <c r="C22" s="42"/>
      <c r="D22" s="42"/>
      <c r="E22" s="42"/>
      <c r="F22" s="50"/>
      <c r="G22" s="50"/>
      <c r="H22" s="50"/>
      <c r="I22" s="42"/>
      <c r="J22" s="42"/>
      <c r="K22" s="42"/>
      <c r="L22" s="42"/>
      <c r="M22" s="42"/>
      <c r="N22" s="42"/>
    </row>
    <row r="23" spans="1:14" x14ac:dyDescent="0.25">
      <c r="A23" s="42"/>
      <c r="B23" s="42"/>
      <c r="C23" s="42"/>
      <c r="D23" s="42"/>
      <c r="E23" s="42"/>
      <c r="F23" s="50"/>
      <c r="G23" s="50"/>
      <c r="H23" s="50"/>
      <c r="I23" s="42"/>
      <c r="J23" s="42"/>
      <c r="K23" s="42"/>
      <c r="L23" s="42"/>
      <c r="M23" s="42"/>
      <c r="N23" s="42"/>
    </row>
    <row r="24" spans="1:14" x14ac:dyDescent="0.25">
      <c r="A24" s="42"/>
      <c r="B24" s="42"/>
      <c r="C24" s="42"/>
      <c r="D24" s="42"/>
      <c r="E24" s="42"/>
      <c r="F24" s="50"/>
      <c r="G24" s="50"/>
      <c r="H24" s="50"/>
      <c r="I24" s="42"/>
      <c r="J24" s="42"/>
      <c r="K24" s="42"/>
      <c r="L24" s="42"/>
      <c r="M24" s="42"/>
      <c r="N24" s="42"/>
    </row>
    <row r="25" spans="1:14" x14ac:dyDescent="0.25">
      <c r="A25" s="42"/>
      <c r="B25" s="42"/>
      <c r="C25" s="42"/>
      <c r="D25" s="42"/>
      <c r="E25" s="42"/>
      <c r="F25" s="50"/>
      <c r="G25" s="50"/>
      <c r="H25" s="50"/>
      <c r="I25" s="42"/>
      <c r="J25" s="42"/>
      <c r="K25" s="42"/>
      <c r="L25" s="42"/>
      <c r="M25" s="42"/>
      <c r="N25" s="42"/>
    </row>
    <row r="26" spans="1:14" x14ac:dyDescent="0.25">
      <c r="A26" s="42"/>
      <c r="B26" s="42"/>
      <c r="C26" s="42"/>
      <c r="D26" s="42"/>
      <c r="E26" s="42"/>
      <c r="F26" s="50"/>
      <c r="G26" s="50"/>
      <c r="H26" s="50"/>
      <c r="I26" s="42"/>
      <c r="J26" s="42"/>
      <c r="K26" s="42"/>
      <c r="L26" s="42"/>
      <c r="M26" s="42"/>
      <c r="N26" s="42"/>
    </row>
    <row r="27" spans="1:14" x14ac:dyDescent="0.25">
      <c r="A27" s="42"/>
      <c r="B27" s="42"/>
      <c r="C27" s="42"/>
      <c r="D27" s="42"/>
      <c r="E27" s="42"/>
      <c r="F27" s="50"/>
      <c r="G27" s="50"/>
      <c r="H27" s="50"/>
      <c r="I27" s="42"/>
      <c r="J27" s="42"/>
      <c r="K27" s="42"/>
      <c r="L27" s="42"/>
      <c r="M27" s="42"/>
      <c r="N27" s="42"/>
    </row>
    <row r="28" spans="1:14" x14ac:dyDescent="0.25">
      <c r="A28" s="42"/>
      <c r="B28" s="42"/>
      <c r="C28" s="42"/>
      <c r="D28" s="42"/>
      <c r="E28" s="42"/>
      <c r="F28" s="50"/>
      <c r="G28" s="50"/>
      <c r="H28" s="50"/>
      <c r="I28" s="42"/>
      <c r="J28" s="42"/>
      <c r="K28" s="42"/>
      <c r="L28" s="42"/>
      <c r="M28" s="42"/>
      <c r="N28" s="42"/>
    </row>
    <row r="29" spans="1:14" x14ac:dyDescent="0.25">
      <c r="A29" s="42"/>
      <c r="B29" s="42"/>
      <c r="C29" s="42"/>
      <c r="D29" s="42"/>
      <c r="E29" s="42"/>
      <c r="F29" s="50"/>
      <c r="G29" s="50"/>
      <c r="H29" s="50"/>
      <c r="I29" s="42"/>
      <c r="J29" s="42"/>
      <c r="K29" s="42"/>
      <c r="L29" s="42"/>
      <c r="M29" s="42"/>
      <c r="N29" s="42"/>
    </row>
    <row r="30" spans="1:14" x14ac:dyDescent="0.25">
      <c r="A30" s="42"/>
      <c r="B30" s="42"/>
      <c r="C30" s="42"/>
      <c r="D30" s="42"/>
      <c r="E30" s="42"/>
      <c r="F30" s="42"/>
      <c r="G30" s="42"/>
      <c r="H30" s="42"/>
      <c r="I30" s="42"/>
      <c r="J30" s="42"/>
      <c r="K30" s="42"/>
      <c r="L30" s="42"/>
      <c r="M30" s="42"/>
      <c r="N30" s="42"/>
    </row>
    <row r="31" spans="1:14" x14ac:dyDescent="0.25">
      <c r="A31" s="42"/>
      <c r="B31" s="42"/>
      <c r="C31" s="42"/>
      <c r="D31" s="42"/>
      <c r="E31" s="42"/>
      <c r="F31" s="42"/>
      <c r="G31" s="42"/>
      <c r="H31" s="42"/>
      <c r="I31" s="42"/>
      <c r="J31" s="42"/>
      <c r="K31" s="42"/>
      <c r="L31" s="42"/>
      <c r="M31" s="42"/>
      <c r="N31" s="42"/>
    </row>
    <row r="32" spans="1:14" x14ac:dyDescent="0.25">
      <c r="A32" s="42"/>
      <c r="B32" s="42"/>
      <c r="C32" s="42"/>
      <c r="D32" s="42"/>
      <c r="E32" s="42"/>
      <c r="F32" s="42"/>
      <c r="G32" s="42"/>
      <c r="H32" s="42"/>
      <c r="I32" s="42"/>
      <c r="J32" s="42"/>
      <c r="K32" s="42"/>
      <c r="L32" s="42"/>
      <c r="M32" s="42"/>
      <c r="N32" s="42"/>
    </row>
    <row r="33" spans="1:14" x14ac:dyDescent="0.25">
      <c r="A33" s="42"/>
      <c r="B33" s="42"/>
      <c r="C33" s="42"/>
      <c r="D33" s="42"/>
      <c r="E33" s="42"/>
      <c r="F33" s="42"/>
      <c r="G33" s="42"/>
      <c r="H33" s="42"/>
      <c r="I33" s="42"/>
      <c r="J33" s="42"/>
      <c r="K33" s="42"/>
      <c r="L33" s="42"/>
      <c r="M33" s="42"/>
      <c r="N33" s="42"/>
    </row>
    <row r="34" spans="1:14" x14ac:dyDescent="0.25">
      <c r="A34" s="42"/>
      <c r="B34" s="42"/>
      <c r="C34" s="42"/>
      <c r="D34" s="42"/>
      <c r="E34" s="42"/>
      <c r="F34" s="42"/>
      <c r="G34" s="42"/>
      <c r="H34" s="42"/>
      <c r="I34" s="42"/>
      <c r="J34" s="42"/>
      <c r="K34" s="42"/>
      <c r="L34" s="42"/>
      <c r="M34" s="42"/>
      <c r="N34" s="42"/>
    </row>
    <row r="35" spans="1:14" x14ac:dyDescent="0.25">
      <c r="A35" s="42"/>
      <c r="B35" s="42"/>
      <c r="C35" s="42"/>
      <c r="D35" s="42"/>
      <c r="E35" s="42"/>
      <c r="F35" s="42"/>
      <c r="G35" s="42"/>
      <c r="H35" s="42"/>
      <c r="I35" s="42"/>
      <c r="J35" s="42"/>
      <c r="K35" s="42"/>
      <c r="L35" s="42"/>
      <c r="M35" s="42"/>
      <c r="N35" s="42"/>
    </row>
    <row r="36" spans="1:14" x14ac:dyDescent="0.25">
      <c r="A36" s="42"/>
      <c r="B36" s="42"/>
      <c r="C36" s="42"/>
      <c r="D36" s="42"/>
      <c r="E36" s="42"/>
      <c r="F36" s="42"/>
      <c r="G36" s="42"/>
      <c r="H36" s="42"/>
      <c r="I36" s="42"/>
      <c r="J36" s="42"/>
      <c r="K36" s="42"/>
      <c r="L36" s="42"/>
      <c r="M36" s="42"/>
      <c r="N36" s="42"/>
    </row>
    <row r="37" spans="1:14" x14ac:dyDescent="0.25">
      <c r="A37" s="42"/>
      <c r="B37" s="42"/>
      <c r="C37" s="42"/>
      <c r="D37" s="42"/>
      <c r="E37" s="42"/>
      <c r="F37" s="42"/>
      <c r="G37" s="42"/>
      <c r="H37" s="42"/>
      <c r="I37" s="42"/>
      <c r="J37" s="42"/>
      <c r="K37" s="42"/>
      <c r="L37" s="42"/>
      <c r="M37" s="42"/>
      <c r="N37" s="42"/>
    </row>
    <row r="38" spans="1:14" x14ac:dyDescent="0.25">
      <c r="A38" s="42"/>
      <c r="B38" s="42"/>
      <c r="C38" s="42"/>
      <c r="D38" s="42"/>
      <c r="E38" s="42"/>
      <c r="F38" s="42"/>
      <c r="G38" s="42"/>
      <c r="H38" s="42"/>
      <c r="I38" s="42"/>
      <c r="J38" s="42"/>
      <c r="K38" s="42"/>
      <c r="L38" s="42"/>
      <c r="M38" s="42"/>
      <c r="N38" s="42"/>
    </row>
    <row r="39" spans="1:14" x14ac:dyDescent="0.25">
      <c r="A39" s="42"/>
      <c r="B39" s="42"/>
      <c r="C39" s="42"/>
      <c r="D39" s="42"/>
      <c r="E39" s="42"/>
      <c r="F39" s="42"/>
      <c r="G39" s="42"/>
      <c r="H39" s="42"/>
      <c r="I39" s="42"/>
      <c r="J39" s="42"/>
      <c r="K39" s="42"/>
      <c r="L39" s="42"/>
      <c r="M39" s="42"/>
      <c r="N39" s="42"/>
    </row>
    <row r="40" spans="1:14" x14ac:dyDescent="0.25">
      <c r="A40" s="42"/>
      <c r="B40" s="42"/>
      <c r="C40" s="42"/>
      <c r="D40" s="42"/>
      <c r="E40" s="42"/>
      <c r="F40" s="42"/>
      <c r="G40" s="42"/>
      <c r="H40" s="42"/>
      <c r="I40" s="42"/>
      <c r="J40" s="42"/>
      <c r="K40" s="42"/>
      <c r="L40" s="42"/>
      <c r="M40" s="42"/>
      <c r="N40" s="42"/>
    </row>
    <row r="41" spans="1:14" x14ac:dyDescent="0.25">
      <c r="A41" s="42"/>
      <c r="B41" s="42"/>
      <c r="C41" s="42"/>
      <c r="D41" s="42"/>
      <c r="E41" s="42"/>
      <c r="F41" s="42"/>
      <c r="G41" s="42"/>
      <c r="H41" s="42"/>
      <c r="I41" s="42"/>
      <c r="J41" s="42"/>
      <c r="K41" s="42"/>
      <c r="L41" s="42"/>
      <c r="M41" s="42"/>
      <c r="N41" s="42"/>
    </row>
    <row r="42" spans="1:14" x14ac:dyDescent="0.25">
      <c r="A42" s="42"/>
      <c r="B42" s="42"/>
      <c r="C42" s="42"/>
      <c r="D42" s="42"/>
      <c r="E42" s="42"/>
      <c r="F42" s="42"/>
      <c r="G42" s="42"/>
      <c r="H42" s="42"/>
      <c r="I42" s="42"/>
      <c r="J42" s="42"/>
      <c r="K42" s="42"/>
      <c r="L42" s="42"/>
      <c r="M42" s="42"/>
      <c r="N42" s="42"/>
    </row>
    <row r="43" spans="1:14" x14ac:dyDescent="0.25">
      <c r="A43" s="42"/>
      <c r="B43" s="42"/>
      <c r="C43" s="42"/>
      <c r="D43" s="42"/>
      <c r="E43" s="42"/>
      <c r="F43" s="42"/>
      <c r="G43" s="42"/>
      <c r="H43" s="42"/>
      <c r="I43" s="42"/>
      <c r="J43" s="42"/>
      <c r="K43" s="42"/>
      <c r="L43" s="42"/>
      <c r="M43" s="42"/>
      <c r="N43" s="42"/>
    </row>
    <row r="44" spans="1:14" x14ac:dyDescent="0.25">
      <c r="A44" s="42"/>
      <c r="B44" s="42"/>
      <c r="C44" s="42"/>
      <c r="D44" s="42"/>
      <c r="E44" s="42"/>
      <c r="F44" s="42"/>
      <c r="G44" s="42"/>
      <c r="H44" s="42"/>
      <c r="I44" s="42"/>
      <c r="J44" s="42"/>
      <c r="K44" s="42"/>
      <c r="L44" s="42"/>
      <c r="M44" s="42"/>
      <c r="N44" s="42"/>
    </row>
    <row r="45" spans="1:14" x14ac:dyDescent="0.25">
      <c r="A45" s="42"/>
      <c r="B45" s="42"/>
      <c r="C45" s="42"/>
      <c r="D45" s="42"/>
      <c r="E45" s="42"/>
      <c r="F45" s="42"/>
      <c r="G45" s="42"/>
      <c r="H45" s="42"/>
      <c r="I45" s="42"/>
      <c r="J45" s="42"/>
      <c r="K45" s="42"/>
      <c r="L45" s="42"/>
      <c r="M45" s="42"/>
      <c r="N45" s="42"/>
    </row>
    <row r="46" spans="1:14" x14ac:dyDescent="0.25">
      <c r="A46" s="42"/>
      <c r="B46" s="42"/>
      <c r="C46" s="42"/>
      <c r="D46" s="42"/>
      <c r="E46" s="42"/>
      <c r="F46" s="42"/>
      <c r="G46" s="42"/>
      <c r="H46" s="42"/>
      <c r="I46" s="42"/>
      <c r="J46" s="42"/>
      <c r="K46" s="42"/>
      <c r="L46" s="42"/>
      <c r="M46" s="42"/>
      <c r="N46" s="42"/>
    </row>
    <row r="47" spans="1:14" x14ac:dyDescent="0.25">
      <c r="A47" s="42"/>
      <c r="B47" s="42"/>
      <c r="C47" s="42"/>
      <c r="D47" s="42"/>
      <c r="E47" s="42"/>
      <c r="F47" s="42"/>
      <c r="G47" s="42"/>
      <c r="H47" s="42"/>
      <c r="I47" s="42"/>
      <c r="J47" s="42"/>
      <c r="K47" s="42"/>
      <c r="L47" s="42"/>
      <c r="M47" s="42"/>
      <c r="N47" s="42"/>
    </row>
    <row r="48" spans="1:14" x14ac:dyDescent="0.25">
      <c r="A48" s="42"/>
      <c r="B48" s="42"/>
      <c r="C48" s="42"/>
      <c r="D48" s="42"/>
      <c r="E48" s="42"/>
      <c r="F48" s="42"/>
      <c r="G48" s="42"/>
      <c r="H48" s="42"/>
      <c r="I48" s="42"/>
      <c r="J48" s="42"/>
      <c r="K48" s="42"/>
      <c r="L48" s="42"/>
      <c r="M48" s="42"/>
      <c r="N48" s="42"/>
    </row>
    <row r="49" spans="1:14" x14ac:dyDescent="0.25">
      <c r="A49" s="42"/>
      <c r="B49" s="42"/>
      <c r="C49" s="42"/>
      <c r="D49" s="42"/>
      <c r="E49" s="42"/>
      <c r="F49" s="42"/>
      <c r="G49" s="42"/>
      <c r="H49" s="42"/>
      <c r="I49" s="42"/>
      <c r="J49" s="42"/>
      <c r="K49" s="42"/>
      <c r="L49" s="42"/>
      <c r="M49" s="42"/>
      <c r="N49" s="42"/>
    </row>
    <row r="50" spans="1:14" x14ac:dyDescent="0.25">
      <c r="A50" s="42"/>
      <c r="B50" s="42"/>
      <c r="C50" s="42"/>
      <c r="D50" s="42"/>
      <c r="E50" s="42"/>
      <c r="F50" s="42"/>
      <c r="G50" s="42"/>
      <c r="H50" s="42"/>
      <c r="I50" s="42"/>
      <c r="J50" s="42"/>
      <c r="K50" s="42"/>
      <c r="L50" s="42"/>
      <c r="M50" s="42"/>
      <c r="N50" s="42"/>
    </row>
    <row r="51" spans="1:14" x14ac:dyDescent="0.25">
      <c r="A51" s="42"/>
      <c r="B51" s="42"/>
      <c r="C51" s="42"/>
      <c r="D51" s="42"/>
      <c r="E51" s="42"/>
      <c r="F51" s="42"/>
      <c r="G51" s="42"/>
      <c r="H51" s="42"/>
      <c r="I51" s="42"/>
      <c r="J51" s="42"/>
      <c r="K51" s="42"/>
      <c r="L51" s="42"/>
      <c r="M51" s="42"/>
      <c r="N51" s="42"/>
    </row>
    <row r="52" spans="1:14" x14ac:dyDescent="0.25">
      <c r="A52" s="42"/>
      <c r="B52" s="42"/>
      <c r="C52" s="42"/>
      <c r="D52" s="42"/>
      <c r="E52" s="42"/>
      <c r="F52" s="42"/>
      <c r="G52" s="42"/>
      <c r="H52" s="42"/>
      <c r="I52" s="42"/>
      <c r="J52" s="42"/>
      <c r="K52" s="42"/>
      <c r="L52" s="42"/>
      <c r="M52" s="42"/>
      <c r="N52" s="42"/>
    </row>
    <row r="53" spans="1:14" x14ac:dyDescent="0.25">
      <c r="A53" s="42"/>
      <c r="B53" s="42"/>
      <c r="C53" s="42"/>
      <c r="D53" s="42"/>
      <c r="E53" s="42"/>
      <c r="F53" s="42"/>
      <c r="G53" s="42"/>
      <c r="H53" s="42"/>
      <c r="I53" s="42"/>
      <c r="J53" s="42"/>
      <c r="K53" s="42"/>
      <c r="L53" s="42"/>
      <c r="M53" s="42"/>
      <c r="N53" s="42"/>
    </row>
    <row r="54" spans="1:14" x14ac:dyDescent="0.25">
      <c r="A54" s="42"/>
      <c r="B54" s="42"/>
      <c r="C54" s="42"/>
      <c r="D54" s="42"/>
      <c r="E54" s="42"/>
      <c r="F54" s="42"/>
      <c r="G54" s="42"/>
      <c r="H54" s="42"/>
      <c r="I54" s="42"/>
      <c r="J54" s="42"/>
      <c r="K54" s="42"/>
      <c r="L54" s="42"/>
      <c r="M54" s="42"/>
      <c r="N54" s="42"/>
    </row>
    <row r="55" spans="1:14" x14ac:dyDescent="0.25">
      <c r="A55" s="42"/>
      <c r="B55" s="42"/>
      <c r="C55" s="42"/>
      <c r="D55" s="42"/>
      <c r="E55" s="42"/>
      <c r="F55" s="42"/>
      <c r="G55" s="42"/>
      <c r="H55" s="42"/>
      <c r="I55" s="42"/>
      <c r="J55" s="42"/>
      <c r="K55" s="42"/>
      <c r="L55" s="42"/>
      <c r="M55" s="42"/>
      <c r="N55" s="42"/>
    </row>
    <row r="56" spans="1:14" x14ac:dyDescent="0.25">
      <c r="A56" s="42"/>
      <c r="B56" s="42"/>
      <c r="C56" s="42"/>
      <c r="D56" s="42"/>
      <c r="E56" s="42"/>
      <c r="F56" s="42"/>
      <c r="G56" s="42"/>
      <c r="H56" s="42"/>
      <c r="I56" s="42"/>
      <c r="J56" s="42"/>
      <c r="K56" s="42"/>
      <c r="L56" s="42"/>
      <c r="M56" s="42"/>
      <c r="N56" s="42"/>
    </row>
    <row r="57" spans="1:14" x14ac:dyDescent="0.25">
      <c r="A57" s="42"/>
      <c r="B57" s="42"/>
      <c r="C57" s="42"/>
      <c r="D57" s="42"/>
      <c r="E57" s="42"/>
      <c r="F57" s="42"/>
      <c r="G57" s="42"/>
      <c r="H57" s="42"/>
      <c r="I57" s="42"/>
      <c r="J57" s="42"/>
      <c r="K57" s="42"/>
      <c r="L57" s="42"/>
      <c r="M57" s="42"/>
      <c r="N57" s="42"/>
    </row>
    <row r="58" spans="1:14" x14ac:dyDescent="0.25">
      <c r="A58" s="42"/>
      <c r="B58" s="42"/>
      <c r="C58" s="42"/>
      <c r="D58" s="42"/>
      <c r="E58" s="42"/>
      <c r="F58" s="42"/>
      <c r="G58" s="42"/>
      <c r="H58" s="42"/>
      <c r="I58" s="42"/>
      <c r="J58" s="42"/>
      <c r="K58" s="42"/>
      <c r="L58" s="42"/>
      <c r="M58" s="42"/>
      <c r="N58" s="42"/>
    </row>
    <row r="59" spans="1:14" x14ac:dyDescent="0.25">
      <c r="A59" s="42"/>
      <c r="B59" s="42"/>
      <c r="C59" s="42"/>
      <c r="D59" s="42"/>
      <c r="E59" s="42"/>
      <c r="F59" s="42"/>
      <c r="G59" s="42"/>
      <c r="H59" s="42"/>
      <c r="I59" s="42"/>
      <c r="J59" s="42"/>
      <c r="K59" s="42"/>
      <c r="L59" s="42"/>
      <c r="M59" s="42"/>
      <c r="N59" s="42"/>
    </row>
    <row r="60" spans="1:14" x14ac:dyDescent="0.25">
      <c r="A60" s="42" t="s">
        <v>279</v>
      </c>
      <c r="B60" s="42"/>
      <c r="C60" s="44" t="s">
        <v>4</v>
      </c>
      <c r="D60" s="42"/>
      <c r="E60" s="42"/>
      <c r="F60" s="42"/>
      <c r="G60" s="42"/>
      <c r="H60" s="42"/>
      <c r="I60" s="42"/>
      <c r="J60" s="42"/>
      <c r="K60" s="42"/>
      <c r="L60" s="42"/>
      <c r="M60" s="42"/>
      <c r="N60" s="42"/>
    </row>
    <row r="61" spans="1:14" x14ac:dyDescent="0.25">
      <c r="C61" t="s">
        <v>286</v>
      </c>
    </row>
    <row r="62" spans="1:14" x14ac:dyDescent="0.25">
      <c r="C62"/>
    </row>
    <row r="63" spans="1:14" x14ac:dyDescent="0.25">
      <c r="C63"/>
    </row>
    <row r="64" spans="1:14" x14ac:dyDescent="0.25">
      <c r="C64"/>
    </row>
    <row r="65" spans="3:3" x14ac:dyDescent="0.25">
      <c r="C65"/>
    </row>
    <row r="66" spans="3:3" x14ac:dyDescent="0.25">
      <c r="C66"/>
    </row>
    <row r="67" spans="3:3" x14ac:dyDescent="0.25">
      <c r="C67"/>
    </row>
    <row r="68" spans="3:3" x14ac:dyDescent="0.25">
      <c r="C68"/>
    </row>
  </sheetData>
  <pageMargins left="0.7" right="0.7" top="0.75" bottom="0.75" header="0.3" footer="0.3"/>
  <pageSetup paperSize="9" scale="10" orientation="landscape" r:id="rId1"/>
  <drawing r:id="rId2"/>
  <legacyDrawing r:id="rId3"/>
  <controls>
    <mc:AlternateContent xmlns:mc="http://schemas.openxmlformats.org/markup-compatibility/2006">
      <mc:Choice Requires="x14">
        <control shapeId="2049" r:id="rId4" name="CommandButton21">
          <controlPr defaultSize="0" autoLine="0" r:id="rId5">
            <anchor moveWithCells="1">
              <from>
                <xdr:col>2</xdr:col>
                <xdr:colOff>85725</xdr:colOff>
                <xdr:row>0</xdr:row>
                <xdr:rowOff>114300</xdr:rowOff>
              </from>
              <to>
                <xdr:col>2</xdr:col>
                <xdr:colOff>1476375</xdr:colOff>
                <xdr:row>0</xdr:row>
                <xdr:rowOff>704850</xdr:rowOff>
              </to>
            </anchor>
          </controlPr>
        </control>
      </mc:Choice>
      <mc:Fallback>
        <control shapeId="2049" r:id="rId4" name="CommandButton2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:H23"/>
  <sheetViews>
    <sheetView workbookViewId="0">
      <selection activeCell="C17" sqref="C17"/>
    </sheetView>
  </sheetViews>
  <sheetFormatPr defaultRowHeight="15" x14ac:dyDescent="0.25"/>
  <cols>
    <col min="1" max="1" width="16.28515625" customWidth="1"/>
    <col min="2" max="2" width="16" customWidth="1"/>
    <col min="3" max="3" width="42.42578125" customWidth="1"/>
    <col min="4" max="4" width="19.85546875" customWidth="1"/>
    <col min="5" max="5" width="28.28515625" customWidth="1"/>
    <col min="6" max="7" width="17.42578125" customWidth="1"/>
    <col min="8" max="8" width="77.7109375" customWidth="1"/>
  </cols>
  <sheetData>
    <row r="1" spans="1:8" s="9" customFormat="1" x14ac:dyDescent="0.25">
      <c r="A1" s="9" t="s">
        <v>249</v>
      </c>
      <c r="B1" s="9" t="s">
        <v>250</v>
      </c>
      <c r="C1" s="9" t="s">
        <v>251</v>
      </c>
      <c r="D1" s="9" t="s">
        <v>252</v>
      </c>
      <c r="E1" s="9" t="s">
        <v>253</v>
      </c>
      <c r="F1" s="9" t="s">
        <v>254</v>
      </c>
      <c r="G1" s="9" t="s">
        <v>255</v>
      </c>
      <c r="H1" s="9" t="s">
        <v>256</v>
      </c>
    </row>
    <row r="3" spans="1:8" x14ac:dyDescent="0.25">
      <c r="A3" t="s">
        <v>257</v>
      </c>
      <c r="C3" t="s">
        <v>258</v>
      </c>
      <c r="F3" t="s">
        <v>259</v>
      </c>
      <c r="H3" t="s">
        <v>260</v>
      </c>
    </row>
    <row r="4" spans="1:8" x14ac:dyDescent="0.25">
      <c r="F4" s="2"/>
      <c r="G4" s="1"/>
    </row>
    <row r="5" spans="1:8" x14ac:dyDescent="0.25">
      <c r="F5" s="3"/>
    </row>
    <row r="6" spans="1:8" x14ac:dyDescent="0.25">
      <c r="F6" s="2"/>
      <c r="G6" s="1"/>
    </row>
    <row r="7" spans="1:8" x14ac:dyDescent="0.25">
      <c r="F7" s="4"/>
    </row>
    <row r="8" spans="1:8" x14ac:dyDescent="0.25">
      <c r="F8" s="5"/>
    </row>
    <row r="23" s="9" customFormat="1" x14ac:dyDescent="0.25"/>
  </sheetData>
  <pageMargins left="0.7" right="0.7" top="0.75" bottom="0.75" header="0.3" footer="0.3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>
    <pageSetUpPr fitToPage="1"/>
  </sheetPr>
  <dimension ref="A1:AG4"/>
  <sheetViews>
    <sheetView zoomScale="85" zoomScaleNormal="85" workbookViewId="0">
      <selection activeCell="C33" sqref="C33"/>
    </sheetView>
  </sheetViews>
  <sheetFormatPr defaultRowHeight="15" x14ac:dyDescent="0.25"/>
  <cols>
    <col min="1" max="1" width="12.5703125" customWidth="1"/>
    <col min="2" max="2" width="34.7109375" customWidth="1"/>
    <col min="3" max="3" width="52.85546875" customWidth="1"/>
    <col min="4" max="4" width="13.140625" customWidth="1"/>
    <col min="5" max="6" width="14.85546875" customWidth="1"/>
    <col min="7" max="7" width="17.7109375" customWidth="1"/>
    <col min="8" max="8" width="12.5703125" customWidth="1"/>
    <col min="9" max="9" width="12.85546875" customWidth="1"/>
    <col min="10" max="10" width="22.7109375" customWidth="1"/>
    <col min="11" max="11" width="15.5703125" customWidth="1"/>
    <col min="12" max="12" width="21.42578125" customWidth="1"/>
    <col min="13" max="35" width="12" customWidth="1"/>
  </cols>
  <sheetData>
    <row r="1" spans="1:33" s="9" customFormat="1" x14ac:dyDescent="0.25"/>
    <row r="2" spans="1:33" x14ac:dyDescent="0.25">
      <c r="A2" t="s">
        <v>184</v>
      </c>
      <c r="B2" t="s">
        <v>31</v>
      </c>
      <c r="C2" t="s">
        <v>248</v>
      </c>
      <c r="D2" t="s">
        <v>247</v>
      </c>
      <c r="E2" t="s">
        <v>53</v>
      </c>
      <c r="F2" t="s">
        <v>261</v>
      </c>
      <c r="G2" t="s">
        <v>2</v>
      </c>
      <c r="H2" t="s">
        <v>3</v>
      </c>
      <c r="I2" t="s">
        <v>1</v>
      </c>
      <c r="J2" t="s">
        <v>188</v>
      </c>
      <c r="K2" t="s">
        <v>237</v>
      </c>
      <c r="L2" t="s">
        <v>238</v>
      </c>
      <c r="M2" s="10">
        <v>45666</v>
      </c>
      <c r="N2" s="10">
        <v>45667</v>
      </c>
      <c r="O2" s="10">
        <v>45668</v>
      </c>
      <c r="P2" s="10">
        <v>45669</v>
      </c>
      <c r="Q2" s="10">
        <v>45670</v>
      </c>
      <c r="R2" s="10">
        <v>45671</v>
      </c>
      <c r="S2" s="10">
        <v>45672</v>
      </c>
      <c r="T2" s="10">
        <v>45673</v>
      </c>
      <c r="U2" s="10">
        <v>45674</v>
      </c>
      <c r="V2" s="10">
        <v>45675</v>
      </c>
      <c r="W2" s="10">
        <v>45676</v>
      </c>
      <c r="X2" s="10">
        <v>45677</v>
      </c>
      <c r="Y2" s="10">
        <v>45678</v>
      </c>
      <c r="Z2" s="10">
        <v>45679</v>
      </c>
      <c r="AA2" s="10">
        <v>45680</v>
      </c>
      <c r="AB2" s="10">
        <v>45681</v>
      </c>
      <c r="AC2" s="10">
        <v>45682</v>
      </c>
      <c r="AD2" s="10">
        <v>45683</v>
      </c>
      <c r="AE2" s="10">
        <v>45684</v>
      </c>
      <c r="AF2" s="10">
        <v>45685</v>
      </c>
      <c r="AG2" s="10">
        <v>45686</v>
      </c>
    </row>
    <row r="3" spans="1:33" s="6" customFormat="1" x14ac:dyDescent="0.25"/>
    <row r="4" spans="1:33" x14ac:dyDescent="0.25">
      <c r="B4" t="s">
        <v>263</v>
      </c>
      <c r="C4" t="s">
        <v>258</v>
      </c>
      <c r="F4" t="s">
        <v>257</v>
      </c>
      <c r="S4" t="s">
        <v>262</v>
      </c>
    </row>
  </sheetData>
  <autoFilter ref="B2:J4"/>
  <pageMargins left="0.7" right="0.7" top="0.75" bottom="0.75" header="0.3" footer="0.3"/>
  <pageSetup paperSize="9" scale="10" orientation="landscape" r:id="rId1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>
          <x14:formula1>
            <xm:f>Лица!$A$3:$A$22</xm:f>
          </x14:formula1>
          <xm:sqref>F4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>
    <pageSetUpPr fitToPage="1"/>
  </sheetPr>
  <dimension ref="A1:M328"/>
  <sheetViews>
    <sheetView topLeftCell="A217" zoomScale="85" zoomScaleNormal="85" workbookViewId="0">
      <pane ySplit="1005" activePane="bottomLeft"/>
      <selection activeCell="M2" sqref="M2:M218"/>
      <selection pane="bottomLeft" activeCell="E294" sqref="E294"/>
    </sheetView>
  </sheetViews>
  <sheetFormatPr defaultRowHeight="15" outlineLevelRow="1" x14ac:dyDescent="0.25"/>
  <cols>
    <col min="1" max="1" width="6" customWidth="1"/>
    <col min="2" max="2" width="9.85546875" customWidth="1"/>
    <col min="3" max="3" width="32.5703125" style="21" customWidth="1"/>
    <col min="4" max="4" width="17" customWidth="1"/>
    <col min="5" max="5" width="52.85546875" customWidth="1"/>
    <col min="6" max="6" width="14.85546875" customWidth="1"/>
    <col min="7" max="7" width="17.7109375" customWidth="1"/>
    <col min="8" max="8" width="12.5703125" customWidth="1"/>
    <col min="9" max="9" width="12.85546875" customWidth="1"/>
    <col min="10" max="10" width="22.7109375" customWidth="1"/>
    <col min="11" max="11" width="15.5703125" customWidth="1"/>
    <col min="12" max="12" width="21.42578125" customWidth="1"/>
    <col min="13" max="13" width="14.28515625" customWidth="1"/>
  </cols>
  <sheetData>
    <row r="1" spans="1:13" s="9" customFormat="1" x14ac:dyDescent="0.25">
      <c r="C1" s="20"/>
    </row>
    <row r="2" spans="1:13" x14ac:dyDescent="0.25">
      <c r="A2" t="s">
        <v>184</v>
      </c>
      <c r="B2" t="s">
        <v>190</v>
      </c>
      <c r="C2" s="21" t="s">
        <v>183</v>
      </c>
      <c r="E2" t="s">
        <v>31</v>
      </c>
      <c r="F2" t="s">
        <v>53</v>
      </c>
      <c r="G2" t="s">
        <v>2</v>
      </c>
      <c r="H2" t="s">
        <v>3</v>
      </c>
      <c r="I2" t="s">
        <v>1</v>
      </c>
      <c r="J2" t="s">
        <v>188</v>
      </c>
      <c r="K2" t="s">
        <v>237</v>
      </c>
      <c r="L2" t="s">
        <v>238</v>
      </c>
      <c r="M2" t="s">
        <v>245</v>
      </c>
    </row>
    <row r="5" spans="1:13" x14ac:dyDescent="0.25">
      <c r="C5" s="21" t="s">
        <v>78</v>
      </c>
    </row>
    <row r="6" spans="1:13" x14ac:dyDescent="0.25">
      <c r="D6" t="s">
        <v>217</v>
      </c>
      <c r="F6" s="16">
        <v>45450</v>
      </c>
      <c r="G6" s="6"/>
      <c r="H6" s="6">
        <v>15</v>
      </c>
      <c r="I6" s="6"/>
      <c r="J6" s="16">
        <v>45601</v>
      </c>
    </row>
    <row r="7" spans="1:13" x14ac:dyDescent="0.25">
      <c r="D7" t="s">
        <v>77</v>
      </c>
      <c r="F7" s="16">
        <v>45450</v>
      </c>
      <c r="G7" s="6"/>
      <c r="H7" s="6">
        <v>25</v>
      </c>
      <c r="I7" s="32">
        <v>50</v>
      </c>
      <c r="J7" s="16">
        <v>45583</v>
      </c>
    </row>
    <row r="8" spans="1:13" x14ac:dyDescent="0.25">
      <c r="E8" t="s">
        <v>212</v>
      </c>
      <c r="F8" s="16">
        <v>45450</v>
      </c>
      <c r="G8" s="6"/>
      <c r="H8" s="6">
        <v>50</v>
      </c>
      <c r="I8" s="32"/>
      <c r="J8" s="16"/>
    </row>
    <row r="9" spans="1:13" x14ac:dyDescent="0.25">
      <c r="F9" s="16"/>
      <c r="G9" s="6"/>
      <c r="H9" s="6"/>
      <c r="I9" s="32"/>
      <c r="J9" s="16"/>
    </row>
    <row r="11" spans="1:13" x14ac:dyDescent="0.25">
      <c r="D11" t="s">
        <v>79</v>
      </c>
      <c r="F11" s="10">
        <v>45461</v>
      </c>
      <c r="G11" t="s">
        <v>80</v>
      </c>
      <c r="H11" s="13">
        <v>3</v>
      </c>
      <c r="I11" s="6" t="s">
        <v>124</v>
      </c>
    </row>
    <row r="13" spans="1:13" x14ac:dyDescent="0.25">
      <c r="C13" s="21" t="s">
        <v>107</v>
      </c>
      <c r="F13" s="10">
        <v>45510</v>
      </c>
      <c r="H13" s="6">
        <v>100</v>
      </c>
      <c r="I13" s="6">
        <v>100</v>
      </c>
    </row>
    <row r="14" spans="1:13" x14ac:dyDescent="0.25">
      <c r="C14" s="21" t="s">
        <v>108</v>
      </c>
      <c r="F14" s="10">
        <v>45502</v>
      </c>
      <c r="H14" s="6">
        <v>500</v>
      </c>
      <c r="I14" s="6">
        <v>500</v>
      </c>
    </row>
    <row r="15" spans="1:13" x14ac:dyDescent="0.25">
      <c r="C15" s="21" t="s">
        <v>114</v>
      </c>
      <c r="E15" t="s">
        <v>123</v>
      </c>
      <c r="F15" s="10">
        <v>45496</v>
      </c>
      <c r="H15" s="6">
        <v>30</v>
      </c>
      <c r="I15" s="6">
        <v>30</v>
      </c>
      <c r="J15" s="10">
        <v>45537</v>
      </c>
    </row>
    <row r="16" spans="1:13" x14ac:dyDescent="0.25">
      <c r="C16" s="21" t="s">
        <v>115</v>
      </c>
      <c r="E16" t="s">
        <v>123</v>
      </c>
      <c r="F16" s="10">
        <v>45499</v>
      </c>
      <c r="H16" s="6">
        <v>16</v>
      </c>
      <c r="I16" s="6">
        <v>16</v>
      </c>
      <c r="J16" s="10">
        <v>45537</v>
      </c>
    </row>
    <row r="17" spans="3:11" x14ac:dyDescent="0.25">
      <c r="D17" t="s">
        <v>128</v>
      </c>
      <c r="F17" s="10"/>
      <c r="G17" s="9" t="s">
        <v>132</v>
      </c>
      <c r="H17" s="6"/>
      <c r="I17" s="6"/>
    </row>
    <row r="18" spans="3:11" x14ac:dyDescent="0.25">
      <c r="C18" s="21" t="s">
        <v>118</v>
      </c>
      <c r="E18" t="s">
        <v>123</v>
      </c>
      <c r="F18" s="10">
        <v>45508</v>
      </c>
      <c r="H18" s="6">
        <v>16</v>
      </c>
      <c r="I18" s="6">
        <v>16</v>
      </c>
      <c r="J18" s="10">
        <v>45537</v>
      </c>
    </row>
    <row r="19" spans="3:11" x14ac:dyDescent="0.25">
      <c r="F19" s="10"/>
      <c r="H19" s="6"/>
      <c r="I19" s="6"/>
      <c r="J19" s="10"/>
    </row>
    <row r="20" spans="3:11" x14ac:dyDescent="0.25">
      <c r="C20" t="s">
        <v>218</v>
      </c>
      <c r="D20" t="s">
        <v>6</v>
      </c>
      <c r="E20" t="s">
        <v>219</v>
      </c>
      <c r="F20" s="15">
        <v>45450</v>
      </c>
      <c r="H20" s="13">
        <v>20</v>
      </c>
      <c r="I20" s="10"/>
      <c r="J20" s="10"/>
      <c r="K20" s="13">
        <v>20</v>
      </c>
    </row>
    <row r="21" spans="3:11" x14ac:dyDescent="0.25">
      <c r="F21" s="10"/>
      <c r="H21" s="6"/>
      <c r="I21" s="6"/>
      <c r="J21" s="10"/>
    </row>
    <row r="22" spans="3:11" ht="30" x14ac:dyDescent="0.25">
      <c r="C22" s="21" t="s">
        <v>125</v>
      </c>
      <c r="E22" t="s">
        <v>151</v>
      </c>
      <c r="F22" s="10"/>
      <c r="H22" s="6">
        <v>40</v>
      </c>
      <c r="I22" s="6">
        <v>40</v>
      </c>
    </row>
    <row r="23" spans="3:11" x14ac:dyDescent="0.25">
      <c r="C23" s="21" t="s">
        <v>126</v>
      </c>
      <c r="E23" t="s">
        <v>127</v>
      </c>
      <c r="F23" s="10">
        <v>45530</v>
      </c>
      <c r="H23" s="6">
        <v>80</v>
      </c>
      <c r="I23" s="6">
        <v>80</v>
      </c>
      <c r="J23" s="10">
        <v>45532</v>
      </c>
    </row>
    <row r="24" spans="3:11" x14ac:dyDescent="0.25">
      <c r="C24" s="21" t="s">
        <v>152</v>
      </c>
      <c r="E24" t="s">
        <v>153</v>
      </c>
      <c r="F24" s="10"/>
      <c r="G24" s="9"/>
      <c r="H24" s="6">
        <v>85</v>
      </c>
      <c r="I24" s="6">
        <v>85</v>
      </c>
      <c r="J24" s="10">
        <v>45583</v>
      </c>
    </row>
    <row r="25" spans="3:11" x14ac:dyDescent="0.25">
      <c r="C25" t="s">
        <v>134</v>
      </c>
      <c r="D25" t="s">
        <v>6</v>
      </c>
      <c r="E25" t="s">
        <v>220</v>
      </c>
      <c r="F25" s="10"/>
      <c r="H25" s="13">
        <v>22</v>
      </c>
    </row>
    <row r="26" spans="3:11" x14ac:dyDescent="0.25">
      <c r="C26"/>
      <c r="F26" s="10"/>
    </row>
    <row r="27" spans="3:11" x14ac:dyDescent="0.25">
      <c r="C27" s="24" t="s">
        <v>136</v>
      </c>
      <c r="D27" t="s">
        <v>6</v>
      </c>
      <c r="E27" t="s">
        <v>197</v>
      </c>
      <c r="F27" s="10"/>
      <c r="H27" s="13">
        <v>15</v>
      </c>
    </row>
    <row r="28" spans="3:11" x14ac:dyDescent="0.25">
      <c r="C28"/>
      <c r="F28" s="10"/>
    </row>
    <row r="29" spans="3:11" x14ac:dyDescent="0.25">
      <c r="C29" t="s">
        <v>160</v>
      </c>
      <c r="D29" t="s">
        <v>157</v>
      </c>
      <c r="E29" t="s">
        <v>201</v>
      </c>
      <c r="F29" s="10"/>
      <c r="H29" s="13">
        <v>217.77180000000001</v>
      </c>
    </row>
    <row r="30" spans="3:11" x14ac:dyDescent="0.25">
      <c r="C30"/>
      <c r="F30" s="10"/>
    </row>
    <row r="31" spans="3:11" x14ac:dyDescent="0.25">
      <c r="C31" t="s">
        <v>179</v>
      </c>
      <c r="D31" t="s">
        <v>6</v>
      </c>
      <c r="E31" t="s">
        <v>178</v>
      </c>
      <c r="F31" s="10"/>
      <c r="H31" s="6">
        <v>50</v>
      </c>
      <c r="I31" s="6">
        <v>50</v>
      </c>
      <c r="J31" s="10">
        <v>45575</v>
      </c>
    </row>
    <row r="32" spans="3:11" x14ac:dyDescent="0.25">
      <c r="C32" t="s">
        <v>181</v>
      </c>
      <c r="E32" t="s">
        <v>180</v>
      </c>
      <c r="F32" s="10"/>
      <c r="H32" s="13">
        <v>140</v>
      </c>
    </row>
    <row r="33" spans="3:8" x14ac:dyDescent="0.25">
      <c r="C33" t="s">
        <v>210</v>
      </c>
      <c r="E33" t="s">
        <v>211</v>
      </c>
      <c r="F33" s="10"/>
      <c r="H33">
        <v>40</v>
      </c>
    </row>
    <row r="34" spans="3:8" x14ac:dyDescent="0.25">
      <c r="C34" t="s">
        <v>209</v>
      </c>
      <c r="E34" t="s">
        <v>208</v>
      </c>
      <c r="F34" s="10"/>
      <c r="H34" s="13">
        <v>75</v>
      </c>
    </row>
    <row r="35" spans="3:8" x14ac:dyDescent="0.25">
      <c r="C35"/>
    </row>
    <row r="36" spans="3:8" x14ac:dyDescent="0.25">
      <c r="C36"/>
      <c r="F36" s="10"/>
    </row>
    <row r="37" spans="3:8" x14ac:dyDescent="0.25">
      <c r="C37"/>
      <c r="F37" s="10"/>
    </row>
    <row r="38" spans="3:8" x14ac:dyDescent="0.25">
      <c r="C38"/>
      <c r="F38" s="10"/>
    </row>
    <row r="39" spans="3:8" x14ac:dyDescent="0.25">
      <c r="C39"/>
      <c r="F39" s="10"/>
    </row>
    <row r="40" spans="3:8" x14ac:dyDescent="0.25">
      <c r="C40"/>
      <c r="F40" s="10"/>
    </row>
    <row r="41" spans="3:8" x14ac:dyDescent="0.25">
      <c r="C41"/>
      <c r="F41" s="10"/>
    </row>
    <row r="42" spans="3:8" x14ac:dyDescent="0.25">
      <c r="C42"/>
      <c r="F42" s="10"/>
    </row>
    <row r="43" spans="3:8" x14ac:dyDescent="0.25">
      <c r="C43"/>
      <c r="F43" s="10"/>
    </row>
    <row r="44" spans="3:8" x14ac:dyDescent="0.25">
      <c r="C44"/>
      <c r="F44" s="10"/>
    </row>
    <row r="45" spans="3:8" x14ac:dyDescent="0.25">
      <c r="C45"/>
      <c r="F45" s="10"/>
    </row>
    <row r="46" spans="3:8" x14ac:dyDescent="0.25">
      <c r="C46"/>
      <c r="F46" s="10"/>
    </row>
    <row r="47" spans="3:8" x14ac:dyDescent="0.25">
      <c r="C47"/>
      <c r="F47" s="10"/>
    </row>
    <row r="48" spans="3:8" x14ac:dyDescent="0.25">
      <c r="C48"/>
      <c r="F48" s="10"/>
    </row>
    <row r="49" spans="3:6" x14ac:dyDescent="0.25">
      <c r="C49"/>
      <c r="F49" s="10"/>
    </row>
    <row r="50" spans="3:6" x14ac:dyDescent="0.25">
      <c r="C50"/>
      <c r="F50" s="10"/>
    </row>
    <row r="51" spans="3:6" x14ac:dyDescent="0.25">
      <c r="C51"/>
    </row>
    <row r="52" spans="3:6" x14ac:dyDescent="0.25">
      <c r="C52"/>
    </row>
    <row r="53" spans="3:6" x14ac:dyDescent="0.25">
      <c r="C53" s="22" t="s">
        <v>47</v>
      </c>
      <c r="D53" s="12"/>
    </row>
    <row r="54" spans="3:6" hidden="1" outlineLevel="1" x14ac:dyDescent="0.25">
      <c r="C54" s="22" t="s">
        <v>44</v>
      </c>
      <c r="D54" s="12"/>
    </row>
    <row r="55" spans="3:6" hidden="1" outlineLevel="1" x14ac:dyDescent="0.25">
      <c r="C55" s="22"/>
      <c r="D55" s="12" t="s">
        <v>46</v>
      </c>
    </row>
    <row r="56" spans="3:6" hidden="1" outlineLevel="1" x14ac:dyDescent="0.25">
      <c r="C56" s="22" t="s">
        <v>45</v>
      </c>
      <c r="D56" s="12"/>
    </row>
    <row r="57" spans="3:6" hidden="1" outlineLevel="1" x14ac:dyDescent="0.25">
      <c r="C57" s="22"/>
      <c r="D57" s="12" t="s">
        <v>48</v>
      </c>
    </row>
    <row r="58" spans="3:6" hidden="1" outlineLevel="1" x14ac:dyDescent="0.25">
      <c r="C58" s="22" t="s">
        <v>49</v>
      </c>
      <c r="D58" s="12"/>
    </row>
    <row r="59" spans="3:6" hidden="1" outlineLevel="1" x14ac:dyDescent="0.25">
      <c r="C59" s="22"/>
      <c r="D59" s="12" t="s">
        <v>50</v>
      </c>
    </row>
    <row r="60" spans="3:6" hidden="1" outlineLevel="1" x14ac:dyDescent="0.25">
      <c r="C60" s="22"/>
      <c r="D60" s="12"/>
    </row>
    <row r="61" spans="3:6" hidden="1" outlineLevel="1" x14ac:dyDescent="0.25">
      <c r="C61" s="22"/>
      <c r="D61" s="12"/>
    </row>
    <row r="62" spans="3:6" hidden="1" outlineLevel="1" x14ac:dyDescent="0.25">
      <c r="C62" s="22"/>
      <c r="D62" s="12"/>
    </row>
    <row r="63" spans="3:6" hidden="1" outlineLevel="1" x14ac:dyDescent="0.25">
      <c r="C63" s="22"/>
      <c r="D63" s="12"/>
    </row>
    <row r="64" spans="3:6" hidden="1" outlineLevel="1" x14ac:dyDescent="0.25">
      <c r="C64" s="22"/>
      <c r="D64" s="12"/>
    </row>
    <row r="65" spans="2:9" collapsed="1" x14ac:dyDescent="0.25">
      <c r="C65" s="22"/>
      <c r="D65" s="12"/>
    </row>
    <row r="66" spans="2:9" s="9" customFormat="1" x14ac:dyDescent="0.25">
      <c r="C66" s="20"/>
      <c r="D66" s="9" t="s">
        <v>60</v>
      </c>
    </row>
    <row r="67" spans="2:9" s="9" customFormat="1" x14ac:dyDescent="0.25">
      <c r="B67" s="19" t="s">
        <v>51</v>
      </c>
      <c r="C67" s="20"/>
      <c r="D67" s="9" t="s">
        <v>60</v>
      </c>
      <c r="F67" s="31">
        <v>45626</v>
      </c>
    </row>
    <row r="68" spans="2:9" x14ac:dyDescent="0.25">
      <c r="C68" s="22"/>
      <c r="D68" s="12" t="s">
        <v>51</v>
      </c>
      <c r="E68" t="s">
        <v>166</v>
      </c>
      <c r="I68" t="e">
        <f>SUM(#REF!)</f>
        <v>#REF!</v>
      </c>
    </row>
    <row r="69" spans="2:9" outlineLevel="1" x14ac:dyDescent="0.25">
      <c r="C69" s="22"/>
      <c r="D69" s="12"/>
    </row>
    <row r="70" spans="2:9" outlineLevel="1" x14ac:dyDescent="0.25">
      <c r="C70" s="22"/>
      <c r="D70" s="12"/>
      <c r="E70" s="7" t="s">
        <v>22</v>
      </c>
      <c r="F70" s="7"/>
      <c r="G70" t="s">
        <v>23</v>
      </c>
    </row>
    <row r="71" spans="2:9" outlineLevel="1" x14ac:dyDescent="0.25">
      <c r="C71" s="22"/>
      <c r="D71" s="12"/>
      <c r="E71" s="7" t="s">
        <v>27</v>
      </c>
      <c r="F71" s="7"/>
      <c r="G71" t="s">
        <v>24</v>
      </c>
    </row>
    <row r="72" spans="2:9" ht="15.75" outlineLevel="1" x14ac:dyDescent="0.25">
      <c r="C72" s="22"/>
      <c r="D72" s="12"/>
      <c r="G72" s="8" t="s">
        <v>25</v>
      </c>
    </row>
    <row r="73" spans="2:9" outlineLevel="1" x14ac:dyDescent="0.25">
      <c r="C73" s="22"/>
      <c r="D73" s="12"/>
      <c r="G73" s="7" t="s">
        <v>26</v>
      </c>
    </row>
    <row r="74" spans="2:9" outlineLevel="1" x14ac:dyDescent="0.25">
      <c r="C74" s="22"/>
      <c r="D74" s="18" t="s">
        <v>95</v>
      </c>
    </row>
    <row r="75" spans="2:9" outlineLevel="1" x14ac:dyDescent="0.25">
      <c r="C75" s="22"/>
      <c r="D75" s="12"/>
      <c r="G75" t="s">
        <v>61</v>
      </c>
    </row>
    <row r="76" spans="2:9" outlineLevel="1" x14ac:dyDescent="0.25">
      <c r="C76" s="22"/>
      <c r="D76" s="12"/>
      <c r="E76" t="s">
        <v>129</v>
      </c>
    </row>
    <row r="77" spans="2:9" outlineLevel="1" x14ac:dyDescent="0.25">
      <c r="C77" s="22"/>
      <c r="D77" s="12"/>
    </row>
    <row r="78" spans="2:9" outlineLevel="1" x14ac:dyDescent="0.25">
      <c r="C78" s="22" t="s">
        <v>9</v>
      </c>
      <c r="D78" s="12"/>
      <c r="E78" t="s">
        <v>59</v>
      </c>
      <c r="F78" t="s">
        <v>10</v>
      </c>
    </row>
    <row r="79" spans="2:9" outlineLevel="1" x14ac:dyDescent="0.25">
      <c r="C79" s="22"/>
      <c r="D79" s="12"/>
      <c r="E79" t="s">
        <v>1</v>
      </c>
      <c r="F79" s="10">
        <v>45512</v>
      </c>
      <c r="H79">
        <v>40284</v>
      </c>
      <c r="I79">
        <v>40284</v>
      </c>
    </row>
    <row r="80" spans="2:9" outlineLevel="1" x14ac:dyDescent="0.25">
      <c r="C80" s="22"/>
      <c r="D80" s="12"/>
    </row>
    <row r="81" spans="3:10" outlineLevel="1" x14ac:dyDescent="0.25">
      <c r="C81" s="20" t="s">
        <v>28</v>
      </c>
      <c r="D81" s="9"/>
    </row>
    <row r="82" spans="3:10" outlineLevel="1" x14ac:dyDescent="0.25">
      <c r="C82" s="22"/>
      <c r="D82" t="s">
        <v>29</v>
      </c>
      <c r="G82" t="s">
        <v>21</v>
      </c>
      <c r="H82">
        <v>30</v>
      </c>
    </row>
    <row r="83" spans="3:10" outlineLevel="1" x14ac:dyDescent="0.25">
      <c r="C83" s="22"/>
      <c r="D83" s="12"/>
    </row>
    <row r="84" spans="3:10" outlineLevel="1" x14ac:dyDescent="0.25">
      <c r="C84" s="22" t="s">
        <v>39</v>
      </c>
      <c r="D84" t="s">
        <v>73</v>
      </c>
      <c r="F84" s="11">
        <v>45460</v>
      </c>
      <c r="G84" t="s">
        <v>21</v>
      </c>
      <c r="J84" t="s">
        <v>32</v>
      </c>
    </row>
    <row r="85" spans="3:10" outlineLevel="1" x14ac:dyDescent="0.25">
      <c r="C85" s="22"/>
      <c r="E85" s="9" t="s">
        <v>30</v>
      </c>
    </row>
    <row r="86" spans="3:10" outlineLevel="1" x14ac:dyDescent="0.25">
      <c r="C86" s="22"/>
      <c r="E86" t="s">
        <v>81</v>
      </c>
      <c r="F86" s="11">
        <v>45462</v>
      </c>
      <c r="G86" t="s">
        <v>0</v>
      </c>
    </row>
    <row r="87" spans="3:10" outlineLevel="1" x14ac:dyDescent="0.25">
      <c r="C87" s="22" t="s">
        <v>38</v>
      </c>
      <c r="D87" s="12" t="s">
        <v>74</v>
      </c>
    </row>
    <row r="88" spans="3:10" outlineLevel="1" x14ac:dyDescent="0.25">
      <c r="C88" s="22"/>
      <c r="E88" t="s">
        <v>69</v>
      </c>
      <c r="F88" s="11">
        <v>45460</v>
      </c>
    </row>
    <row r="89" spans="3:10" outlineLevel="1" x14ac:dyDescent="0.25">
      <c r="C89" s="22"/>
      <c r="D89" t="s">
        <v>75</v>
      </c>
    </row>
    <row r="90" spans="3:10" outlineLevel="1" x14ac:dyDescent="0.25">
      <c r="C90" s="22"/>
      <c r="E90" s="9" t="s">
        <v>70</v>
      </c>
      <c r="F90" s="11">
        <v>45460</v>
      </c>
    </row>
    <row r="91" spans="3:10" outlineLevel="1" x14ac:dyDescent="0.25">
      <c r="C91" s="22" t="s">
        <v>37</v>
      </c>
    </row>
    <row r="92" spans="3:10" outlineLevel="1" x14ac:dyDescent="0.25">
      <c r="C92" s="22"/>
      <c r="E92" t="s">
        <v>36</v>
      </c>
      <c r="F92" s="9"/>
      <c r="G92" t="s">
        <v>15</v>
      </c>
    </row>
    <row r="93" spans="3:10" outlineLevel="1" x14ac:dyDescent="0.25">
      <c r="C93" s="22"/>
      <c r="D93" t="s">
        <v>66</v>
      </c>
    </row>
    <row r="94" spans="3:10" outlineLevel="1" x14ac:dyDescent="0.25">
      <c r="C94" s="22"/>
      <c r="E94" s="9" t="s">
        <v>35</v>
      </c>
      <c r="F94" s="9"/>
      <c r="G94" t="s">
        <v>15</v>
      </c>
      <c r="H94" s="6">
        <v>50</v>
      </c>
      <c r="I94">
        <v>50</v>
      </c>
    </row>
    <row r="95" spans="3:10" outlineLevel="1" x14ac:dyDescent="0.25">
      <c r="C95" s="22"/>
      <c r="E95" t="s">
        <v>67</v>
      </c>
      <c r="F95" s="11">
        <v>45460</v>
      </c>
      <c r="G95" t="s">
        <v>15</v>
      </c>
    </row>
    <row r="96" spans="3:10" outlineLevel="1" x14ac:dyDescent="0.25">
      <c r="C96" s="22"/>
      <c r="E96" t="s">
        <v>68</v>
      </c>
      <c r="F96" s="11">
        <v>45457</v>
      </c>
      <c r="G96" t="s">
        <v>0</v>
      </c>
    </row>
    <row r="97" spans="2:9" outlineLevel="1" x14ac:dyDescent="0.25">
      <c r="C97" s="22" t="s">
        <v>40</v>
      </c>
      <c r="E97" s="9" t="s">
        <v>41</v>
      </c>
      <c r="F97" s="9"/>
    </row>
    <row r="98" spans="2:9" outlineLevel="1" x14ac:dyDescent="0.25">
      <c r="C98" s="22"/>
      <c r="D98" t="s">
        <v>76</v>
      </c>
      <c r="F98" s="10">
        <v>45460</v>
      </c>
      <c r="G98" t="s">
        <v>57</v>
      </c>
    </row>
    <row r="99" spans="2:9" outlineLevel="1" x14ac:dyDescent="0.25">
      <c r="C99" s="22" t="s">
        <v>42</v>
      </c>
      <c r="E99" t="s">
        <v>58</v>
      </c>
      <c r="F99" s="10">
        <v>45457</v>
      </c>
      <c r="G99" t="s">
        <v>33</v>
      </c>
    </row>
    <row r="100" spans="2:9" outlineLevel="1" x14ac:dyDescent="0.25">
      <c r="C100" s="22" t="s">
        <v>43</v>
      </c>
    </row>
    <row r="101" spans="2:9" outlineLevel="1" x14ac:dyDescent="0.25">
      <c r="C101" s="22"/>
      <c r="F101" s="11">
        <v>45460</v>
      </c>
      <c r="G101" t="s">
        <v>101</v>
      </c>
    </row>
    <row r="102" spans="2:9" outlineLevel="1" x14ac:dyDescent="0.25">
      <c r="C102" s="22"/>
      <c r="F102" s="10"/>
    </row>
    <row r="103" spans="2:9" outlineLevel="1" x14ac:dyDescent="0.25">
      <c r="C103" s="22" t="s">
        <v>62</v>
      </c>
      <c r="E103" t="s">
        <v>63</v>
      </c>
      <c r="F103" s="9"/>
      <c r="G103" t="s">
        <v>64</v>
      </c>
      <c r="H103" s="6">
        <v>20</v>
      </c>
      <c r="I103" s="6">
        <v>20</v>
      </c>
    </row>
    <row r="104" spans="2:9" outlineLevel="1" x14ac:dyDescent="0.25">
      <c r="C104" s="22"/>
      <c r="E104" t="s">
        <v>65</v>
      </c>
      <c r="F104" s="11">
        <v>45457</v>
      </c>
    </row>
    <row r="105" spans="2:9" outlineLevel="1" x14ac:dyDescent="0.25">
      <c r="C105" s="22" t="s">
        <v>71</v>
      </c>
      <c r="E105" t="s">
        <v>72</v>
      </c>
      <c r="F105" s="9"/>
      <c r="G105" t="s">
        <v>100</v>
      </c>
      <c r="H105" s="6">
        <v>20</v>
      </c>
      <c r="I105" s="6">
        <v>20</v>
      </c>
    </row>
    <row r="106" spans="2:9" outlineLevel="1" x14ac:dyDescent="0.25">
      <c r="C106" s="22"/>
      <c r="D106" s="12"/>
    </row>
    <row r="107" spans="2:9" ht="30" outlineLevel="1" x14ac:dyDescent="0.25">
      <c r="B107" s="25" t="s">
        <v>102</v>
      </c>
      <c r="D107" s="12"/>
      <c r="F107" s="16">
        <v>45529</v>
      </c>
    </row>
    <row r="108" spans="2:9" outlineLevel="1" x14ac:dyDescent="0.25">
      <c r="C108" s="22" t="s">
        <v>13</v>
      </c>
      <c r="D108" s="12"/>
    </row>
    <row r="109" spans="2:9" outlineLevel="1" x14ac:dyDescent="0.25">
      <c r="C109" s="22"/>
      <c r="D109" s="12"/>
    </row>
    <row r="110" spans="2:9" outlineLevel="1" x14ac:dyDescent="0.25">
      <c r="C110" s="22" t="s">
        <v>103</v>
      </c>
      <c r="D110" s="12"/>
    </row>
    <row r="111" spans="2:9" outlineLevel="1" x14ac:dyDescent="0.25">
      <c r="C111" s="22"/>
      <c r="D111" s="12"/>
    </row>
    <row r="112" spans="2:9" outlineLevel="1" x14ac:dyDescent="0.25">
      <c r="C112" s="22" t="s">
        <v>104</v>
      </c>
      <c r="D112" s="12"/>
    </row>
    <row r="113" spans="1:10" outlineLevel="1" x14ac:dyDescent="0.25">
      <c r="C113" s="22"/>
      <c r="D113" s="12"/>
    </row>
    <row r="114" spans="1:10" outlineLevel="1" x14ac:dyDescent="0.25">
      <c r="C114" s="22" t="s">
        <v>14</v>
      </c>
      <c r="D114" s="12"/>
      <c r="E114" t="s">
        <v>129</v>
      </c>
      <c r="G114" t="s">
        <v>130</v>
      </c>
      <c r="H114" s="6">
        <v>30</v>
      </c>
      <c r="I114" s="6">
        <v>30</v>
      </c>
    </row>
    <row r="115" spans="1:10" outlineLevel="1" x14ac:dyDescent="0.25">
      <c r="C115" s="22"/>
      <c r="D115" s="12"/>
    </row>
    <row r="116" spans="1:10" outlineLevel="1" x14ac:dyDescent="0.25">
      <c r="C116" s="22" t="s">
        <v>105</v>
      </c>
      <c r="D116" s="12"/>
    </row>
    <row r="117" spans="1:10" outlineLevel="1" x14ac:dyDescent="0.25">
      <c r="C117" s="22"/>
      <c r="D117" s="12"/>
    </row>
    <row r="118" spans="1:10" outlineLevel="1" x14ac:dyDescent="0.25">
      <c r="C118" s="22" t="s">
        <v>12</v>
      </c>
      <c r="D118" s="12"/>
      <c r="E118" t="s">
        <v>100</v>
      </c>
      <c r="H118" t="s">
        <v>167</v>
      </c>
    </row>
    <row r="119" spans="1:10" outlineLevel="1" x14ac:dyDescent="0.25">
      <c r="C119" s="22" t="s">
        <v>106</v>
      </c>
      <c r="D119" s="12"/>
      <c r="E119" t="s">
        <v>100</v>
      </c>
      <c r="H119" t="s">
        <v>167</v>
      </c>
    </row>
    <row r="120" spans="1:10" outlineLevel="1" x14ac:dyDescent="0.25">
      <c r="C120" s="22"/>
      <c r="D120" s="12"/>
    </row>
    <row r="121" spans="1:10" outlineLevel="1" x14ac:dyDescent="0.25">
      <c r="C121" s="22" t="s">
        <v>131</v>
      </c>
      <c r="D121" s="12"/>
    </row>
    <row r="122" spans="1:10" outlineLevel="1" x14ac:dyDescent="0.25">
      <c r="C122" s="22" t="s">
        <v>13</v>
      </c>
      <c r="D122" s="12"/>
    </row>
    <row r="123" spans="1:10" outlineLevel="1" x14ac:dyDescent="0.25">
      <c r="C123" s="22"/>
      <c r="D123" s="12"/>
    </row>
    <row r="124" spans="1:10" outlineLevel="1" x14ac:dyDescent="0.25">
      <c r="A124" s="13">
        <v>1</v>
      </c>
      <c r="C124" s="20" t="s">
        <v>131</v>
      </c>
      <c r="D124" s="12"/>
      <c r="F124" s="10">
        <v>45595</v>
      </c>
    </row>
    <row r="125" spans="1:10" outlineLevel="1" x14ac:dyDescent="0.25">
      <c r="C125" s="22"/>
      <c r="D125" s="12"/>
    </row>
    <row r="126" spans="1:10" outlineLevel="1" x14ac:dyDescent="0.25">
      <c r="B126" t="s">
        <v>16</v>
      </c>
      <c r="C126" s="22" t="s">
        <v>163</v>
      </c>
      <c r="D126" s="12"/>
      <c r="E126" t="s">
        <v>164</v>
      </c>
      <c r="G126" t="s">
        <v>130</v>
      </c>
      <c r="H126" s="6">
        <v>20</v>
      </c>
      <c r="I126" s="6">
        <v>20</v>
      </c>
      <c r="J126" s="10">
        <v>45607</v>
      </c>
    </row>
    <row r="127" spans="1:10" outlineLevel="1" x14ac:dyDescent="0.25">
      <c r="C127" s="22" t="s">
        <v>161</v>
      </c>
      <c r="D127" s="12"/>
    </row>
    <row r="128" spans="1:10" outlineLevel="1" x14ac:dyDescent="0.25">
      <c r="C128" s="22" t="s">
        <v>162</v>
      </c>
      <c r="D128" s="12"/>
    </row>
    <row r="129" spans="1:10" outlineLevel="1" x14ac:dyDescent="0.25">
      <c r="C129" s="22" t="s">
        <v>18</v>
      </c>
      <c r="D129" s="12"/>
    </row>
    <row r="130" spans="1:10" outlineLevel="1" x14ac:dyDescent="0.25">
      <c r="C130" s="22" t="s">
        <v>16</v>
      </c>
      <c r="D130" s="12"/>
    </row>
    <row r="131" spans="1:10" outlineLevel="1" x14ac:dyDescent="0.25">
      <c r="C131" s="22"/>
      <c r="D131" s="12"/>
      <c r="E131" t="s">
        <v>165</v>
      </c>
      <c r="F131" s="10">
        <v>45568</v>
      </c>
      <c r="G131" t="s">
        <v>187</v>
      </c>
    </row>
    <row r="132" spans="1:10" outlineLevel="1" x14ac:dyDescent="0.25">
      <c r="A132" s="9" t="s">
        <v>206</v>
      </c>
      <c r="C132" s="22"/>
      <c r="D132" s="12"/>
      <c r="E132" s="22" t="s">
        <v>182</v>
      </c>
      <c r="F132" s="10">
        <v>45582</v>
      </c>
      <c r="G132" t="s">
        <v>185</v>
      </c>
      <c r="H132" s="16">
        <v>45596</v>
      </c>
    </row>
    <row r="133" spans="1:10" outlineLevel="1" x14ac:dyDescent="0.25">
      <c r="C133" s="22"/>
      <c r="D133" s="12"/>
    </row>
    <row r="134" spans="1:10" outlineLevel="1" x14ac:dyDescent="0.25">
      <c r="C134" s="22"/>
      <c r="D134" s="12"/>
    </row>
    <row r="135" spans="1:10" outlineLevel="1" x14ac:dyDescent="0.25">
      <c r="C135" s="22" t="s">
        <v>106</v>
      </c>
      <c r="D135" s="12"/>
      <c r="E135" t="s">
        <v>177</v>
      </c>
      <c r="F135" s="28">
        <v>45574</v>
      </c>
      <c r="G135" t="s">
        <v>100</v>
      </c>
      <c r="H135" s="6">
        <v>20</v>
      </c>
      <c r="I135" s="6">
        <v>20</v>
      </c>
      <c r="J135" t="s">
        <v>176</v>
      </c>
    </row>
    <row r="136" spans="1:10" outlineLevel="1" x14ac:dyDescent="0.25">
      <c r="C136" s="22" t="s">
        <v>12</v>
      </c>
      <c r="D136" s="12"/>
      <c r="F136" s="28">
        <v>45574</v>
      </c>
      <c r="G136" t="s">
        <v>187</v>
      </c>
      <c r="H136" s="6">
        <v>20</v>
      </c>
      <c r="I136" s="6">
        <v>20</v>
      </c>
      <c r="J136" t="s">
        <v>176</v>
      </c>
    </row>
    <row r="137" spans="1:10" outlineLevel="1" x14ac:dyDescent="0.25">
      <c r="C137" s="22"/>
      <c r="D137" s="12"/>
      <c r="E137" t="s">
        <v>186</v>
      </c>
      <c r="F137" s="10">
        <v>45575</v>
      </c>
      <c r="G137" t="s">
        <v>187</v>
      </c>
    </row>
    <row r="138" spans="1:10" outlineLevel="1" x14ac:dyDescent="0.25">
      <c r="C138" s="22"/>
      <c r="D138" s="12"/>
      <c r="F138" s="10"/>
    </row>
    <row r="139" spans="1:10" outlineLevel="1" x14ac:dyDescent="0.25">
      <c r="A139" s="13">
        <v>1</v>
      </c>
      <c r="C139" s="22" t="s">
        <v>103</v>
      </c>
      <c r="D139" s="12"/>
    </row>
    <row r="140" spans="1:10" outlineLevel="1" x14ac:dyDescent="0.25">
      <c r="C140" s="22"/>
      <c r="D140" s="12"/>
    </row>
    <row r="141" spans="1:10" outlineLevel="1" x14ac:dyDescent="0.25">
      <c r="C141" s="22"/>
      <c r="D141" s="12"/>
    </row>
    <row r="142" spans="1:10" outlineLevel="1" x14ac:dyDescent="0.25">
      <c r="C142" s="22" t="s">
        <v>192</v>
      </c>
      <c r="D142" s="12" t="s">
        <v>195</v>
      </c>
    </row>
    <row r="143" spans="1:10" outlineLevel="1" x14ac:dyDescent="0.25">
      <c r="C143" s="22" t="s">
        <v>19</v>
      </c>
      <c r="D143" s="12" t="s">
        <v>168</v>
      </c>
    </row>
    <row r="144" spans="1:10" outlineLevel="1" x14ac:dyDescent="0.25">
      <c r="C144" s="22" t="s">
        <v>193</v>
      </c>
      <c r="D144" s="12" t="s">
        <v>194</v>
      </c>
    </row>
    <row r="145" spans="1:10" outlineLevel="1" x14ac:dyDescent="0.25">
      <c r="C145" s="26"/>
      <c r="D145" s="12"/>
    </row>
    <row r="146" spans="1:10" outlineLevel="1" x14ac:dyDescent="0.25">
      <c r="B146" s="10">
        <v>45580</v>
      </c>
      <c r="C146" s="22"/>
      <c r="D146" s="12"/>
      <c r="E146" t="s">
        <v>189</v>
      </c>
      <c r="F146" s="10">
        <v>45580</v>
      </c>
      <c r="G146" t="s">
        <v>187</v>
      </c>
    </row>
    <row r="147" spans="1:10" outlineLevel="1" x14ac:dyDescent="0.25">
      <c r="C147" s="22" t="s">
        <v>6</v>
      </c>
      <c r="D147" s="12"/>
      <c r="G147" t="s">
        <v>227</v>
      </c>
      <c r="H147">
        <v>80</v>
      </c>
      <c r="I147" s="6">
        <v>55</v>
      </c>
      <c r="J147" s="16">
        <v>45629</v>
      </c>
    </row>
    <row r="148" spans="1:10" outlineLevel="1" x14ac:dyDescent="0.25">
      <c r="C148" s="22"/>
      <c r="D148" s="12"/>
      <c r="I148" s="6">
        <v>25</v>
      </c>
      <c r="J148" s="16">
        <v>45652</v>
      </c>
    </row>
    <row r="149" spans="1:10" outlineLevel="1" x14ac:dyDescent="0.25">
      <c r="A149" s="13" t="s">
        <v>205</v>
      </c>
      <c r="B149" s="30">
        <v>45626</v>
      </c>
      <c r="C149" s="22"/>
      <c r="D149" s="12"/>
    </row>
    <row r="150" spans="1:10" ht="30" outlineLevel="1" x14ac:dyDescent="0.25">
      <c r="B150" s="10">
        <v>45652</v>
      </c>
      <c r="C150" s="22" t="s">
        <v>240</v>
      </c>
      <c r="D150" s="12"/>
      <c r="F150" s="10">
        <v>45652</v>
      </c>
    </row>
    <row r="151" spans="1:10" outlineLevel="1" x14ac:dyDescent="0.25">
      <c r="C151" s="22"/>
      <c r="D151" s="12"/>
    </row>
    <row r="152" spans="1:10" outlineLevel="1" x14ac:dyDescent="0.25">
      <c r="C152" s="22"/>
      <c r="D152" s="12"/>
    </row>
    <row r="153" spans="1:10" s="9" customFormat="1" x14ac:dyDescent="0.25">
      <c r="C153" s="20" t="s">
        <v>4</v>
      </c>
      <c r="E153" s="9" t="s">
        <v>5</v>
      </c>
    </row>
    <row r="154" spans="1:10" s="9" customFormat="1" x14ac:dyDescent="0.25">
      <c r="A154" s="19" t="s">
        <v>202</v>
      </c>
      <c r="B154" s="19"/>
      <c r="C154" s="19"/>
    </row>
    <row r="155" spans="1:10" hidden="1" outlineLevel="1" x14ac:dyDescent="0.25">
      <c r="E155" s="1" t="s">
        <v>85</v>
      </c>
      <c r="H155">
        <v>101</v>
      </c>
      <c r="I155" t="e">
        <f>SUM(#REF!)</f>
        <v>#REF!</v>
      </c>
    </row>
    <row r="156" spans="1:10" hidden="1" outlineLevel="1" x14ac:dyDescent="0.25">
      <c r="E156" s="1" t="s">
        <v>86</v>
      </c>
      <c r="H156">
        <v>500</v>
      </c>
      <c r="I156" t="e">
        <f>SUM(#REF!)</f>
        <v>#REF!</v>
      </c>
    </row>
    <row r="157" spans="1:10" hidden="1" outlineLevel="1" x14ac:dyDescent="0.25">
      <c r="C157" s="23"/>
      <c r="D157" s="14" t="s">
        <v>52</v>
      </c>
      <c r="E157" t="s">
        <v>56</v>
      </c>
      <c r="I157" t="e">
        <f>SUM(#REF!)</f>
        <v>#REF!</v>
      </c>
    </row>
    <row r="158" spans="1:10" hidden="1" outlineLevel="1" x14ac:dyDescent="0.25">
      <c r="C158" s="23"/>
      <c r="D158" s="14"/>
      <c r="E158" s="1" t="s">
        <v>54</v>
      </c>
      <c r="I158" t="e">
        <f>SUM(#REF!)</f>
        <v>#REF!</v>
      </c>
    </row>
    <row r="159" spans="1:10" hidden="1" outlineLevel="1" x14ac:dyDescent="0.25">
      <c r="C159" s="23"/>
      <c r="D159" s="14"/>
      <c r="E159" s="1" t="s">
        <v>55</v>
      </c>
      <c r="I159" t="e">
        <f>SUM(#REF!)</f>
        <v>#REF!</v>
      </c>
    </row>
    <row r="160" spans="1:10" hidden="1" outlineLevel="1" x14ac:dyDescent="0.25">
      <c r="C160" s="23"/>
      <c r="D160" s="14"/>
      <c r="E160" s="1"/>
      <c r="I160" t="e">
        <f>SUM(#REF!)</f>
        <v>#REF!</v>
      </c>
    </row>
    <row r="161" spans="3:9" hidden="1" outlineLevel="1" x14ac:dyDescent="0.25">
      <c r="C161" s="23"/>
      <c r="D161" s="14" t="s">
        <v>82</v>
      </c>
      <c r="E161" s="1" t="s">
        <v>87</v>
      </c>
      <c r="F161" t="s">
        <v>83</v>
      </c>
      <c r="I161" t="e">
        <f>SUM(#REF!)</f>
        <v>#REF!</v>
      </c>
    </row>
    <row r="162" spans="3:9" hidden="1" outlineLevel="1" x14ac:dyDescent="0.25">
      <c r="C162" s="23"/>
      <c r="D162" s="14"/>
      <c r="E162" s="1"/>
      <c r="I162" t="e">
        <f>SUM(#REF!)</f>
        <v>#REF!</v>
      </c>
    </row>
    <row r="163" spans="3:9" hidden="1" outlineLevel="1" x14ac:dyDescent="0.25">
      <c r="C163" s="23"/>
      <c r="D163" s="14"/>
      <c r="E163" s="17" t="s">
        <v>90</v>
      </c>
      <c r="F163" t="s">
        <v>8</v>
      </c>
      <c r="H163" s="7" t="s">
        <v>89</v>
      </c>
      <c r="I163" t="e">
        <f>SUM(#REF!)</f>
        <v>#REF!</v>
      </c>
    </row>
    <row r="164" spans="3:9" hidden="1" outlineLevel="1" x14ac:dyDescent="0.25">
      <c r="C164" s="23"/>
      <c r="D164" s="14"/>
      <c r="E164" s="1"/>
      <c r="I164" t="e">
        <f>SUM(#REF!)</f>
        <v>#REF!</v>
      </c>
    </row>
    <row r="165" spans="3:9" hidden="1" outlineLevel="1" x14ac:dyDescent="0.25">
      <c r="C165" s="23"/>
      <c r="D165" s="14" t="s">
        <v>52</v>
      </c>
      <c r="I165" t="e">
        <f>SUM(#REF!)</f>
        <v>#REF!</v>
      </c>
    </row>
    <row r="166" spans="3:9" hidden="1" outlineLevel="1" x14ac:dyDescent="0.25">
      <c r="C166" s="23"/>
      <c r="D166" s="14"/>
      <c r="I166" t="e">
        <f>SUM(#REF!)</f>
        <v>#REF!</v>
      </c>
    </row>
    <row r="167" spans="3:9" hidden="1" outlineLevel="1" x14ac:dyDescent="0.25">
      <c r="C167" s="23" t="s">
        <v>96</v>
      </c>
      <c r="D167" s="14"/>
      <c r="I167" t="e">
        <f>SUM(#REF!)</f>
        <v>#REF!</v>
      </c>
    </row>
    <row r="168" spans="3:9" hidden="1" outlineLevel="1" x14ac:dyDescent="0.25">
      <c r="C168" s="23"/>
      <c r="D168" s="14"/>
      <c r="E168" t="s">
        <v>29</v>
      </c>
      <c r="F168" s="10">
        <v>45463</v>
      </c>
      <c r="G168" t="s">
        <v>21</v>
      </c>
      <c r="I168" t="e">
        <f>SUM(#REF!)</f>
        <v>#REF!</v>
      </c>
    </row>
    <row r="169" spans="3:9" hidden="1" outlineLevel="1" x14ac:dyDescent="0.25">
      <c r="C169" s="23"/>
      <c r="D169" s="14"/>
      <c r="E169" t="s">
        <v>93</v>
      </c>
      <c r="F169" s="16">
        <v>45460</v>
      </c>
      <c r="I169" t="e">
        <f>SUM(#REF!)</f>
        <v>#REF!</v>
      </c>
    </row>
    <row r="170" spans="3:9" hidden="1" outlineLevel="1" x14ac:dyDescent="0.25">
      <c r="C170" s="23"/>
      <c r="D170" s="14"/>
      <c r="E170" t="s">
        <v>92</v>
      </c>
      <c r="F170" s="16">
        <v>45469</v>
      </c>
      <c r="I170" t="e">
        <f>SUM(#REF!)</f>
        <v>#REF!</v>
      </c>
    </row>
    <row r="171" spans="3:9" hidden="1" outlineLevel="1" x14ac:dyDescent="0.25">
      <c r="C171" s="23"/>
      <c r="D171" s="14"/>
      <c r="E171" t="s">
        <v>97</v>
      </c>
      <c r="F171" s="16">
        <v>45480</v>
      </c>
      <c r="I171" t="e">
        <f>SUM(#REF!)</f>
        <v>#REF!</v>
      </c>
    </row>
    <row r="172" spans="3:9" hidden="1" outlineLevel="1" x14ac:dyDescent="0.25">
      <c r="C172" s="23"/>
      <c r="D172" s="14"/>
      <c r="I172" t="e">
        <f>SUM(#REF!)</f>
        <v>#REF!</v>
      </c>
    </row>
    <row r="173" spans="3:9" hidden="1" outlineLevel="1" x14ac:dyDescent="0.25">
      <c r="C173" s="23"/>
      <c r="D173" s="14"/>
      <c r="I173" t="e">
        <f>SUM(#REF!)</f>
        <v>#REF!</v>
      </c>
    </row>
    <row r="174" spans="3:9" hidden="1" outlineLevel="1" x14ac:dyDescent="0.25">
      <c r="C174" s="23" t="s">
        <v>16</v>
      </c>
      <c r="D174" s="14" t="s">
        <v>11</v>
      </c>
      <c r="E174" t="s">
        <v>84</v>
      </c>
      <c r="F174" s="6">
        <v>45463</v>
      </c>
      <c r="G174" t="s">
        <v>0</v>
      </c>
      <c r="H174" t="s">
        <v>94</v>
      </c>
      <c r="I174" t="e">
        <f>SUM(#REF!)</f>
        <v>#REF!</v>
      </c>
    </row>
    <row r="175" spans="3:9" hidden="1" outlineLevel="1" x14ac:dyDescent="0.25">
      <c r="C175" s="23"/>
      <c r="D175" s="14" t="s">
        <v>88</v>
      </c>
      <c r="F175" s="16">
        <v>45467</v>
      </c>
      <c r="G175" t="s">
        <v>91</v>
      </c>
      <c r="I175" t="e">
        <f>SUM(#REF!)</f>
        <v>#REF!</v>
      </c>
    </row>
    <row r="176" spans="3:9" hidden="1" outlineLevel="1" x14ac:dyDescent="0.25">
      <c r="C176" s="23"/>
      <c r="D176" s="14"/>
      <c r="I176" t="e">
        <f>SUM(#REF!)</f>
        <v>#REF!</v>
      </c>
    </row>
    <row r="177" spans="3:10" hidden="1" outlineLevel="1" x14ac:dyDescent="0.25">
      <c r="C177" s="23" t="s">
        <v>106</v>
      </c>
      <c r="D177" s="14"/>
      <c r="E177" t="s">
        <v>100</v>
      </c>
      <c r="H177">
        <v>10</v>
      </c>
      <c r="I177" t="e">
        <f>SUM(#REF!)</f>
        <v>#REF!</v>
      </c>
    </row>
    <row r="178" spans="3:10" hidden="1" outlineLevel="1" x14ac:dyDescent="0.25">
      <c r="C178" s="23" t="s">
        <v>17</v>
      </c>
      <c r="D178" s="14"/>
      <c r="E178" t="s">
        <v>98</v>
      </c>
      <c r="H178">
        <v>10</v>
      </c>
      <c r="I178" t="e">
        <f>SUM(#REF!)</f>
        <v>#REF!</v>
      </c>
    </row>
    <row r="179" spans="3:10" hidden="1" outlineLevel="1" x14ac:dyDescent="0.25">
      <c r="C179" s="23" t="s">
        <v>99</v>
      </c>
      <c r="D179" s="14"/>
      <c r="E179" t="s">
        <v>7</v>
      </c>
      <c r="I179" t="e">
        <f>SUM(#REF!)</f>
        <v>#REF!</v>
      </c>
    </row>
    <row r="180" spans="3:10" hidden="1" outlineLevel="1" x14ac:dyDescent="0.25">
      <c r="C180" s="23"/>
      <c r="D180" s="14"/>
      <c r="I180" t="e">
        <f>SUM(#REF!)</f>
        <v>#REF!</v>
      </c>
    </row>
    <row r="181" spans="3:10" hidden="1" outlineLevel="1" x14ac:dyDescent="0.25">
      <c r="C181" s="23"/>
      <c r="D181" s="14"/>
      <c r="I181" t="e">
        <f>SUM(#REF!)</f>
        <v>#REF!</v>
      </c>
    </row>
    <row r="182" spans="3:10" hidden="1" outlineLevel="1" x14ac:dyDescent="0.25">
      <c r="C182" s="23"/>
      <c r="D182" s="14"/>
      <c r="F182" s="10"/>
      <c r="I182" t="e">
        <f>SUM(#REF!)</f>
        <v>#REF!</v>
      </c>
    </row>
    <row r="183" spans="3:10" hidden="1" outlineLevel="1" x14ac:dyDescent="0.25">
      <c r="C183" s="23"/>
      <c r="D183" s="14"/>
      <c r="I183" t="e">
        <f>SUM(#REF!)</f>
        <v>#REF!</v>
      </c>
    </row>
    <row r="184" spans="3:10" collapsed="1" x14ac:dyDescent="0.25"/>
    <row r="185" spans="3:10" s="9" customFormat="1" x14ac:dyDescent="0.25">
      <c r="C185" s="20" t="s">
        <v>4</v>
      </c>
      <c r="D185" s="9" t="s">
        <v>5</v>
      </c>
    </row>
    <row r="186" spans="3:10" x14ac:dyDescent="0.25">
      <c r="C186" s="22" t="s">
        <v>154</v>
      </c>
      <c r="E186" s="6" t="s">
        <v>109</v>
      </c>
    </row>
    <row r="187" spans="3:10" hidden="1" outlineLevel="1" x14ac:dyDescent="0.25">
      <c r="C187" s="22" t="s">
        <v>8</v>
      </c>
      <c r="D187" s="12"/>
      <c r="E187" t="s">
        <v>110</v>
      </c>
      <c r="H187" s="6">
        <v>30</v>
      </c>
      <c r="I187" s="6">
        <v>30</v>
      </c>
      <c r="J187" s="10">
        <v>45537</v>
      </c>
    </row>
    <row r="188" spans="3:10" hidden="1" outlineLevel="1" x14ac:dyDescent="0.25">
      <c r="C188" s="22" t="s">
        <v>111</v>
      </c>
      <c r="D188" s="12"/>
      <c r="E188" t="s">
        <v>20</v>
      </c>
      <c r="F188" s="10">
        <v>45496</v>
      </c>
      <c r="I188" t="e">
        <f>SUM(#REF!)</f>
        <v>#REF!</v>
      </c>
    </row>
    <row r="189" spans="3:10" hidden="1" outlineLevel="1" x14ac:dyDescent="0.25">
      <c r="C189" s="22"/>
      <c r="D189" s="12"/>
    </row>
    <row r="190" spans="3:10" s="9" customFormat="1" collapsed="1" x14ac:dyDescent="0.25">
      <c r="C190" s="20" t="s">
        <v>4</v>
      </c>
      <c r="E190" s="9" t="s">
        <v>5</v>
      </c>
    </row>
    <row r="191" spans="3:10" x14ac:dyDescent="0.25">
      <c r="C191" s="22"/>
      <c r="D191" s="12"/>
      <c r="E191" s="6" t="s">
        <v>112</v>
      </c>
    </row>
    <row r="192" spans="3:10" hidden="1" outlineLevel="1" x14ac:dyDescent="0.25">
      <c r="C192" s="22" t="s">
        <v>8</v>
      </c>
      <c r="D192" s="12"/>
      <c r="E192" t="s">
        <v>110</v>
      </c>
      <c r="H192" s="6">
        <v>16</v>
      </c>
      <c r="I192" s="6">
        <v>16</v>
      </c>
      <c r="J192" s="10">
        <v>45537</v>
      </c>
    </row>
    <row r="193" spans="1:10" hidden="1" outlineLevel="1" x14ac:dyDescent="0.25">
      <c r="C193" s="22" t="s">
        <v>104</v>
      </c>
      <c r="D193" s="12"/>
      <c r="E193" t="s">
        <v>113</v>
      </c>
      <c r="F193" s="10">
        <v>45499</v>
      </c>
      <c r="H193">
        <v>10</v>
      </c>
      <c r="I193" t="e">
        <f>SUM(#REF!)</f>
        <v>#REF!</v>
      </c>
    </row>
    <row r="194" spans="1:10" s="9" customFormat="1" collapsed="1" x14ac:dyDescent="0.25">
      <c r="C194" s="20" t="s">
        <v>4</v>
      </c>
      <c r="E194" s="9" t="s">
        <v>5</v>
      </c>
    </row>
    <row r="195" spans="1:10" x14ac:dyDescent="0.25">
      <c r="C195" s="22"/>
      <c r="D195" s="12"/>
      <c r="E195" s="6" t="s">
        <v>116</v>
      </c>
    </row>
    <row r="196" spans="1:10" hidden="1" outlineLevel="1" x14ac:dyDescent="0.25">
      <c r="C196" s="22" t="s">
        <v>8</v>
      </c>
      <c r="D196" s="12"/>
      <c r="E196" t="s">
        <v>110</v>
      </c>
      <c r="H196" s="6">
        <v>16</v>
      </c>
      <c r="I196" s="6">
        <v>16</v>
      </c>
      <c r="J196" s="10">
        <v>45537</v>
      </c>
    </row>
    <row r="197" spans="1:10" hidden="1" outlineLevel="1" x14ac:dyDescent="0.25">
      <c r="C197" s="22" t="s">
        <v>104</v>
      </c>
      <c r="D197" s="12"/>
      <c r="E197" t="s">
        <v>113</v>
      </c>
      <c r="F197" s="10">
        <v>45508</v>
      </c>
      <c r="G197" t="s">
        <v>117</v>
      </c>
      <c r="H197">
        <v>10</v>
      </c>
      <c r="I197" t="e">
        <f>SUM(#REF!)</f>
        <v>#REF!</v>
      </c>
    </row>
    <row r="198" spans="1:10" hidden="1" outlineLevel="1" x14ac:dyDescent="0.25">
      <c r="C198" s="22"/>
      <c r="D198" s="12"/>
      <c r="F198" s="10"/>
    </row>
    <row r="199" spans="1:10" collapsed="1" x14ac:dyDescent="0.25">
      <c r="C199" s="20" t="s">
        <v>4</v>
      </c>
      <c r="D199" s="9"/>
      <c r="E199" s="9" t="s">
        <v>5</v>
      </c>
      <c r="F199" s="9"/>
      <c r="G199" s="9"/>
      <c r="H199" s="9"/>
      <c r="I199" s="9"/>
    </row>
    <row r="200" spans="1:10" x14ac:dyDescent="0.25">
      <c r="C200" s="22"/>
      <c r="D200" s="12"/>
      <c r="E200" s="6" t="s">
        <v>119</v>
      </c>
    </row>
    <row r="201" spans="1:10" x14ac:dyDescent="0.25">
      <c r="C201" s="22" t="s">
        <v>8</v>
      </c>
      <c r="D201" s="12"/>
      <c r="E201" t="s">
        <v>110</v>
      </c>
    </row>
    <row r="202" spans="1:10" x14ac:dyDescent="0.25">
      <c r="C202" s="22"/>
      <c r="D202" s="12"/>
      <c r="E202" s="13" t="s">
        <v>122</v>
      </c>
    </row>
    <row r="203" spans="1:10" x14ac:dyDescent="0.25">
      <c r="C203" s="22" t="s">
        <v>6</v>
      </c>
      <c r="D203" s="12"/>
      <c r="E203" t="s">
        <v>120</v>
      </c>
      <c r="F203" s="10" t="s">
        <v>121</v>
      </c>
      <c r="H203">
        <v>20</v>
      </c>
    </row>
    <row r="204" spans="1:10" x14ac:dyDescent="0.25">
      <c r="C204" s="20" t="s">
        <v>4</v>
      </c>
      <c r="D204" s="9"/>
      <c r="E204" s="9" t="s">
        <v>5</v>
      </c>
      <c r="F204" s="9"/>
      <c r="G204" s="9"/>
      <c r="H204" s="9"/>
      <c r="I204" s="9"/>
    </row>
    <row r="205" spans="1:10" x14ac:dyDescent="0.25">
      <c r="A205" s="19" t="s">
        <v>133</v>
      </c>
      <c r="B205" s="19"/>
      <c r="D205" s="12"/>
      <c r="F205" s="10"/>
    </row>
    <row r="206" spans="1:10" x14ac:dyDescent="0.25">
      <c r="C206" s="22"/>
      <c r="D206" s="12"/>
      <c r="F206" s="10"/>
    </row>
    <row r="207" spans="1:10" x14ac:dyDescent="0.25">
      <c r="C207" s="22" t="s">
        <v>134</v>
      </c>
      <c r="D207" s="12" t="s">
        <v>6</v>
      </c>
      <c r="E207" t="s">
        <v>138</v>
      </c>
      <c r="F207" s="10"/>
      <c r="H207">
        <v>22</v>
      </c>
      <c r="I207" s="13"/>
    </row>
    <row r="208" spans="1:10" x14ac:dyDescent="0.25">
      <c r="C208" s="22"/>
      <c r="D208" s="12"/>
      <c r="E208" t="s">
        <v>34</v>
      </c>
      <c r="F208" s="10"/>
      <c r="H208">
        <v>15</v>
      </c>
      <c r="I208" s="6">
        <v>15</v>
      </c>
      <c r="J208" t="s">
        <v>169</v>
      </c>
    </row>
    <row r="209" spans="2:13" x14ac:dyDescent="0.25">
      <c r="C209" s="22"/>
      <c r="D209" s="12"/>
      <c r="E209" t="s">
        <v>34</v>
      </c>
      <c r="F209" s="10" t="s">
        <v>135</v>
      </c>
      <c r="H209">
        <v>3</v>
      </c>
      <c r="I209" s="6">
        <v>3</v>
      </c>
    </row>
    <row r="210" spans="2:13" x14ac:dyDescent="0.25">
      <c r="C210" s="20" t="s">
        <v>4</v>
      </c>
      <c r="D210" s="9"/>
      <c r="E210" s="9" t="s">
        <v>5</v>
      </c>
      <c r="F210" s="9"/>
      <c r="G210" s="9"/>
      <c r="H210" s="9"/>
      <c r="I210" s="9"/>
    </row>
    <row r="211" spans="2:13" x14ac:dyDescent="0.25">
      <c r="C211" s="24" t="s">
        <v>136</v>
      </c>
      <c r="D211" s="12" t="s">
        <v>6</v>
      </c>
      <c r="E211" t="s">
        <v>137</v>
      </c>
      <c r="F211" s="10"/>
      <c r="G211">
        <v>150</v>
      </c>
      <c r="H211">
        <v>15</v>
      </c>
      <c r="I211" s="13"/>
    </row>
    <row r="212" spans="2:13" x14ac:dyDescent="0.25">
      <c r="C212" s="24"/>
      <c r="D212" s="12" t="s">
        <v>196</v>
      </c>
      <c r="F212" s="10"/>
      <c r="H212">
        <v>5</v>
      </c>
      <c r="I212" s="13"/>
    </row>
    <row r="213" spans="2:13" x14ac:dyDescent="0.25">
      <c r="C213" s="24"/>
      <c r="D213" s="12"/>
      <c r="E213" t="s">
        <v>34</v>
      </c>
      <c r="F213" s="10"/>
      <c r="H213">
        <v>10</v>
      </c>
      <c r="I213" s="6">
        <v>10</v>
      </c>
    </row>
    <row r="214" spans="2:13" x14ac:dyDescent="0.25">
      <c r="C214" s="24" t="s">
        <v>215</v>
      </c>
      <c r="D214" s="12"/>
      <c r="E214" s="10" t="s">
        <v>216</v>
      </c>
      <c r="F214" s="10"/>
      <c r="H214" s="6">
        <v>50</v>
      </c>
      <c r="I214" s="6">
        <v>25</v>
      </c>
      <c r="J214" s="10">
        <v>45583</v>
      </c>
    </row>
    <row r="215" spans="2:13" x14ac:dyDescent="0.25">
      <c r="C215" s="24"/>
      <c r="D215" s="12"/>
      <c r="F215" s="10"/>
      <c r="I215" s="6">
        <v>50</v>
      </c>
      <c r="J215" s="10">
        <v>45601</v>
      </c>
    </row>
    <row r="216" spans="2:13" x14ac:dyDescent="0.25">
      <c r="C216" s="24"/>
      <c r="D216" s="12"/>
      <c r="E216" t="s">
        <v>214</v>
      </c>
      <c r="H216" s="13">
        <v>75</v>
      </c>
      <c r="I216" s="13"/>
      <c r="J216" t="s">
        <v>239</v>
      </c>
      <c r="K216" s="13">
        <v>75</v>
      </c>
      <c r="M216" s="10">
        <v>45653</v>
      </c>
    </row>
    <row r="217" spans="2:13" x14ac:dyDescent="0.25">
      <c r="C217"/>
    </row>
    <row r="218" spans="2:13" x14ac:dyDescent="0.25">
      <c r="C218" s="24"/>
      <c r="D218" s="12"/>
      <c r="F218" s="10"/>
      <c r="I218" s="6"/>
    </row>
    <row r="219" spans="2:13" x14ac:dyDescent="0.25">
      <c r="C219" s="20" t="s">
        <v>4</v>
      </c>
      <c r="D219" s="9"/>
      <c r="E219" s="9" t="s">
        <v>5</v>
      </c>
      <c r="F219" s="9"/>
      <c r="G219" s="9"/>
      <c r="H219" s="9"/>
      <c r="I219" s="9"/>
    </row>
    <row r="220" spans="2:13" x14ac:dyDescent="0.25">
      <c r="B220" s="27" t="s">
        <v>171</v>
      </c>
      <c r="C220" s="24" t="s">
        <v>170</v>
      </c>
      <c r="E220" t="s">
        <v>178</v>
      </c>
      <c r="F220" s="10"/>
      <c r="H220">
        <v>15</v>
      </c>
      <c r="I220" s="6">
        <v>15</v>
      </c>
      <c r="J220" s="10">
        <v>45575</v>
      </c>
    </row>
    <row r="221" spans="2:13" x14ac:dyDescent="0.25">
      <c r="C221" s="24"/>
      <c r="D221" s="12" t="s">
        <v>6</v>
      </c>
      <c r="E221" t="s">
        <v>34</v>
      </c>
      <c r="F221" s="10"/>
      <c r="H221">
        <v>10</v>
      </c>
      <c r="I221" s="6">
        <v>10</v>
      </c>
    </row>
    <row r="222" spans="2:13" x14ac:dyDescent="0.25">
      <c r="C222" s="20" t="s">
        <v>4</v>
      </c>
      <c r="D222" s="9"/>
      <c r="E222" s="9" t="s">
        <v>5</v>
      </c>
      <c r="F222" s="9"/>
      <c r="G222" s="9"/>
      <c r="H222" s="9"/>
      <c r="I222" s="9"/>
    </row>
    <row r="223" spans="2:13" x14ac:dyDescent="0.25">
      <c r="B223" s="27" t="s">
        <v>171</v>
      </c>
      <c r="C223" s="24" t="s">
        <v>172</v>
      </c>
      <c r="E223" t="s">
        <v>178</v>
      </c>
      <c r="F223" s="10"/>
      <c r="H223">
        <v>20</v>
      </c>
      <c r="I223" s="6">
        <v>15</v>
      </c>
      <c r="J223" s="10">
        <v>45575</v>
      </c>
    </row>
    <row r="224" spans="2:13" x14ac:dyDescent="0.25">
      <c r="C224" s="24"/>
      <c r="D224" s="12" t="s">
        <v>6</v>
      </c>
      <c r="E224" t="s">
        <v>34</v>
      </c>
      <c r="F224" s="10"/>
      <c r="H224">
        <v>18</v>
      </c>
      <c r="I224" s="6">
        <v>18</v>
      </c>
    </row>
    <row r="225" spans="2:10" x14ac:dyDescent="0.25">
      <c r="C225" s="24"/>
      <c r="D225" s="12"/>
      <c r="F225" s="10"/>
    </row>
    <row r="226" spans="2:10" x14ac:dyDescent="0.25">
      <c r="C226" s="20" t="s">
        <v>4</v>
      </c>
      <c r="D226" s="9"/>
      <c r="E226" s="9" t="s">
        <v>5</v>
      </c>
      <c r="F226" s="9"/>
      <c r="G226" s="9"/>
      <c r="H226" s="9"/>
      <c r="I226" s="9"/>
    </row>
    <row r="227" spans="2:10" x14ac:dyDescent="0.25">
      <c r="B227" s="27" t="s">
        <v>171</v>
      </c>
      <c r="C227" s="24" t="s">
        <v>173</v>
      </c>
      <c r="E227" t="s">
        <v>178</v>
      </c>
      <c r="F227" s="10"/>
      <c r="H227">
        <v>15</v>
      </c>
      <c r="I227" s="6">
        <v>15</v>
      </c>
      <c r="J227" s="10">
        <v>45575</v>
      </c>
    </row>
    <row r="228" spans="2:10" x14ac:dyDescent="0.25">
      <c r="C228" s="24"/>
      <c r="D228" s="12" t="s">
        <v>6</v>
      </c>
      <c r="E228" t="s">
        <v>34</v>
      </c>
      <c r="F228" s="10"/>
      <c r="H228">
        <v>5</v>
      </c>
      <c r="I228" s="6">
        <v>5</v>
      </c>
    </row>
    <row r="229" spans="2:10" x14ac:dyDescent="0.25">
      <c r="C229" s="24"/>
      <c r="D229" s="12"/>
      <c r="F229" s="10"/>
    </row>
    <row r="230" spans="2:10" x14ac:dyDescent="0.25">
      <c r="C230" s="20" t="s">
        <v>4</v>
      </c>
      <c r="D230" s="9"/>
      <c r="E230" s="9" t="s">
        <v>5</v>
      </c>
      <c r="F230" s="9"/>
      <c r="G230" s="9"/>
      <c r="H230" s="9"/>
      <c r="I230" s="9"/>
    </row>
    <row r="231" spans="2:10" x14ac:dyDescent="0.25">
      <c r="C231" s="24" t="s">
        <v>139</v>
      </c>
      <c r="D231" s="12" t="s">
        <v>6</v>
      </c>
      <c r="E231" t="s">
        <v>155</v>
      </c>
      <c r="F231" s="10"/>
      <c r="H231">
        <v>15</v>
      </c>
      <c r="I231" s="6"/>
    </row>
    <row r="232" spans="2:10" x14ac:dyDescent="0.25">
      <c r="C232" s="22"/>
      <c r="D232" s="12"/>
      <c r="E232" t="s">
        <v>34</v>
      </c>
      <c r="F232" s="10"/>
      <c r="H232">
        <v>5</v>
      </c>
      <c r="I232" s="6">
        <v>5</v>
      </c>
    </row>
    <row r="233" spans="2:10" x14ac:dyDescent="0.25">
      <c r="C233" s="20" t="s">
        <v>4</v>
      </c>
      <c r="D233" s="9"/>
      <c r="E233" s="9" t="s">
        <v>5</v>
      </c>
      <c r="F233" s="9"/>
      <c r="G233" s="9"/>
      <c r="H233" s="9"/>
      <c r="I233" s="9"/>
    </row>
    <row r="234" spans="2:10" x14ac:dyDescent="0.25">
      <c r="C234" s="24" t="s">
        <v>140</v>
      </c>
      <c r="D234" s="12" t="s">
        <v>6</v>
      </c>
      <c r="E234" t="s">
        <v>155</v>
      </c>
      <c r="F234" s="10"/>
      <c r="H234">
        <v>15</v>
      </c>
      <c r="I234" s="6"/>
      <c r="J234" s="10">
        <v>45614</v>
      </c>
    </row>
    <row r="235" spans="2:10" x14ac:dyDescent="0.25">
      <c r="C235" s="22"/>
      <c r="D235" s="12"/>
      <c r="E235" t="s">
        <v>34</v>
      </c>
      <c r="F235" s="10"/>
      <c r="H235">
        <v>5</v>
      </c>
      <c r="I235" s="6">
        <v>5</v>
      </c>
    </row>
    <row r="236" spans="2:10" x14ac:dyDescent="0.25">
      <c r="C236" s="20" t="s">
        <v>4</v>
      </c>
      <c r="D236" s="9"/>
      <c r="E236" s="9" t="s">
        <v>5</v>
      </c>
      <c r="F236" s="9"/>
      <c r="G236" s="9"/>
      <c r="H236" s="9"/>
      <c r="I236" s="9"/>
    </row>
    <row r="237" spans="2:10" x14ac:dyDescent="0.25">
      <c r="C237" s="24" t="s">
        <v>141</v>
      </c>
      <c r="D237" s="12" t="s">
        <v>6</v>
      </c>
      <c r="E237" t="s">
        <v>155</v>
      </c>
      <c r="F237" s="10"/>
      <c r="H237">
        <v>15</v>
      </c>
      <c r="I237" s="6"/>
    </row>
    <row r="238" spans="2:10" x14ac:dyDescent="0.25">
      <c r="C238" s="22"/>
      <c r="D238" s="12"/>
      <c r="E238" t="s">
        <v>34</v>
      </c>
      <c r="F238" s="10"/>
      <c r="H238">
        <v>5</v>
      </c>
      <c r="I238" s="6">
        <v>5</v>
      </c>
    </row>
    <row r="239" spans="2:10" x14ac:dyDescent="0.25">
      <c r="C239" s="20" t="s">
        <v>4</v>
      </c>
      <c r="D239" s="9"/>
      <c r="E239" s="9" t="s">
        <v>5</v>
      </c>
      <c r="F239" s="9"/>
      <c r="G239" s="9"/>
      <c r="H239" s="9"/>
      <c r="I239" s="9"/>
    </row>
    <row r="240" spans="2:10" x14ac:dyDescent="0.25">
      <c r="C240" s="24" t="s">
        <v>142</v>
      </c>
      <c r="D240" s="12" t="s">
        <v>6</v>
      </c>
      <c r="E240" t="s">
        <v>155</v>
      </c>
      <c r="F240" s="10"/>
      <c r="H240">
        <v>15</v>
      </c>
      <c r="I240" s="6"/>
    </row>
    <row r="241" spans="1:10" x14ac:dyDescent="0.25">
      <c r="C241" s="22"/>
      <c r="D241" s="12"/>
      <c r="E241" t="s">
        <v>34</v>
      </c>
      <c r="F241" s="10"/>
      <c r="H241">
        <v>5</v>
      </c>
      <c r="I241" s="6">
        <v>5</v>
      </c>
    </row>
    <row r="242" spans="1:10" x14ac:dyDescent="0.25">
      <c r="C242" s="20" t="s">
        <v>4</v>
      </c>
      <c r="D242" s="9"/>
      <c r="E242" s="9" t="s">
        <v>5</v>
      </c>
      <c r="F242" s="9"/>
      <c r="G242" s="9"/>
      <c r="H242" s="9"/>
      <c r="I242" s="9"/>
    </row>
    <row r="243" spans="1:10" x14ac:dyDescent="0.25">
      <c r="C243" s="24" t="s">
        <v>143</v>
      </c>
      <c r="D243" s="12" t="s">
        <v>6</v>
      </c>
      <c r="E243" t="s">
        <v>155</v>
      </c>
      <c r="F243" s="10"/>
      <c r="H243">
        <v>10</v>
      </c>
      <c r="I243" s="6"/>
    </row>
    <row r="244" spans="1:10" x14ac:dyDescent="0.25">
      <c r="C244" s="22"/>
      <c r="D244" s="12"/>
      <c r="E244" t="s">
        <v>34</v>
      </c>
      <c r="F244" s="10"/>
      <c r="H244">
        <v>2</v>
      </c>
      <c r="I244" s="6">
        <v>5</v>
      </c>
    </row>
    <row r="245" spans="1:10" x14ac:dyDescent="0.25">
      <c r="C245" s="20" t="s">
        <v>4</v>
      </c>
      <c r="D245" s="9"/>
      <c r="E245" s="9" t="s">
        <v>5</v>
      </c>
      <c r="F245" s="9"/>
      <c r="G245" s="9"/>
      <c r="H245" s="9"/>
      <c r="I245" s="9"/>
    </row>
    <row r="246" spans="1:10" x14ac:dyDescent="0.25">
      <c r="C246" s="24" t="s">
        <v>144</v>
      </c>
      <c r="D246" s="12" t="s">
        <v>6</v>
      </c>
      <c r="E246" t="s">
        <v>155</v>
      </c>
      <c r="F246" s="10"/>
      <c r="H246">
        <v>15</v>
      </c>
      <c r="I246" s="6"/>
    </row>
    <row r="247" spans="1:10" x14ac:dyDescent="0.25">
      <c r="C247" s="22"/>
      <c r="D247" s="12"/>
      <c r="E247" t="s">
        <v>34</v>
      </c>
      <c r="F247" s="10"/>
      <c r="H247">
        <v>5</v>
      </c>
      <c r="I247" s="6">
        <v>5</v>
      </c>
    </row>
    <row r="248" spans="1:10" x14ac:dyDescent="0.25">
      <c r="C248" s="20"/>
      <c r="D248" s="9"/>
      <c r="E248" s="9"/>
      <c r="F248" s="9"/>
      <c r="G248" s="9"/>
      <c r="H248" s="9"/>
      <c r="I248" s="9"/>
    </row>
    <row r="249" spans="1:10" x14ac:dyDescent="0.25">
      <c r="C249" s="24" t="s">
        <v>145</v>
      </c>
      <c r="D249" s="12" t="s">
        <v>147</v>
      </c>
      <c r="E249" t="s">
        <v>180</v>
      </c>
      <c r="F249" s="10"/>
      <c r="H249">
        <v>40</v>
      </c>
      <c r="I249" s="13"/>
      <c r="J249" t="s">
        <v>213</v>
      </c>
    </row>
    <row r="250" spans="1:10" x14ac:dyDescent="0.25">
      <c r="C250" s="22"/>
      <c r="D250" s="12"/>
      <c r="F250" s="10"/>
      <c r="G250" t="s">
        <v>148</v>
      </c>
      <c r="H250" s="32">
        <v>20</v>
      </c>
      <c r="I250" s="6"/>
    </row>
    <row r="251" spans="1:10" x14ac:dyDescent="0.25">
      <c r="C251" s="22"/>
      <c r="D251" s="12" t="s">
        <v>6</v>
      </c>
      <c r="F251" s="10"/>
      <c r="I251" s="6"/>
    </row>
    <row r="252" spans="1:10" x14ac:dyDescent="0.25">
      <c r="A252" s="13">
        <v>1</v>
      </c>
      <c r="B252" s="10">
        <v>45580</v>
      </c>
      <c r="C252" s="22"/>
      <c r="D252" s="12"/>
      <c r="E252" t="s">
        <v>191</v>
      </c>
      <c r="F252" s="10"/>
      <c r="I252" s="6"/>
    </row>
    <row r="253" spans="1:10" x14ac:dyDescent="0.25">
      <c r="C253" s="20" t="s">
        <v>4</v>
      </c>
      <c r="D253" s="9"/>
      <c r="E253" s="9" t="s">
        <v>5</v>
      </c>
      <c r="F253" s="9"/>
      <c r="G253" s="9"/>
      <c r="H253" s="9"/>
      <c r="I253" s="9"/>
    </row>
    <row r="254" spans="1:10" x14ac:dyDescent="0.25">
      <c r="C254" s="24" t="s">
        <v>146</v>
      </c>
      <c r="D254" s="12" t="s">
        <v>147</v>
      </c>
      <c r="E254" t="s">
        <v>180</v>
      </c>
      <c r="F254" s="10"/>
      <c r="H254" s="6">
        <v>30</v>
      </c>
      <c r="I254" s="6">
        <v>30</v>
      </c>
      <c r="J254" s="10">
        <v>45614</v>
      </c>
    </row>
    <row r="255" spans="1:10" x14ac:dyDescent="0.25">
      <c r="C255" s="22"/>
      <c r="D255" s="12"/>
      <c r="F255" s="10"/>
      <c r="G255" t="s">
        <v>148</v>
      </c>
      <c r="H255" s="32">
        <v>20</v>
      </c>
    </row>
    <row r="256" spans="1:10" x14ac:dyDescent="0.25">
      <c r="C256" s="20" t="s">
        <v>4</v>
      </c>
      <c r="D256" s="9"/>
      <c r="E256" s="9" t="s">
        <v>5</v>
      </c>
      <c r="F256" s="9"/>
      <c r="G256" s="9"/>
      <c r="H256" s="9"/>
      <c r="I256" s="9"/>
    </row>
    <row r="257" spans="3:11" x14ac:dyDescent="0.25">
      <c r="C257" s="24" t="s">
        <v>149</v>
      </c>
      <c r="D257" s="12" t="s">
        <v>147</v>
      </c>
      <c r="E257" t="s">
        <v>180</v>
      </c>
      <c r="F257" s="10"/>
      <c r="H257" s="6">
        <v>30</v>
      </c>
      <c r="I257" s="6">
        <v>30</v>
      </c>
      <c r="J257" s="10">
        <v>45614</v>
      </c>
    </row>
    <row r="258" spans="3:11" x14ac:dyDescent="0.25">
      <c r="C258" s="22"/>
      <c r="D258" s="12"/>
      <c r="F258" s="10"/>
      <c r="G258" t="s">
        <v>148</v>
      </c>
      <c r="H258" s="32">
        <v>20</v>
      </c>
    </row>
    <row r="259" spans="3:11" x14ac:dyDescent="0.25">
      <c r="C259" s="20" t="s">
        <v>4</v>
      </c>
      <c r="D259" s="9"/>
      <c r="E259" s="9" t="s">
        <v>5</v>
      </c>
      <c r="F259" s="9"/>
      <c r="G259" s="9"/>
      <c r="H259" s="9"/>
      <c r="I259" s="9"/>
    </row>
    <row r="260" spans="3:11" x14ac:dyDescent="0.25">
      <c r="C260" s="24" t="s">
        <v>150</v>
      </c>
      <c r="D260" s="12" t="s">
        <v>147</v>
      </c>
      <c r="E260" t="s">
        <v>180</v>
      </c>
      <c r="F260" s="10"/>
      <c r="H260">
        <v>40</v>
      </c>
      <c r="I260" s="13"/>
      <c r="J260" t="s">
        <v>213</v>
      </c>
    </row>
    <row r="261" spans="3:11" x14ac:dyDescent="0.25">
      <c r="C261" s="22"/>
      <c r="D261" s="12"/>
      <c r="F261" s="10"/>
      <c r="G261" t="s">
        <v>148</v>
      </c>
      <c r="H261" s="32">
        <v>20</v>
      </c>
    </row>
    <row r="262" spans="3:11" x14ac:dyDescent="0.25">
      <c r="C262" s="20" t="s">
        <v>4</v>
      </c>
      <c r="D262" s="9"/>
      <c r="E262" s="9" t="s">
        <v>5</v>
      </c>
      <c r="F262" s="9"/>
      <c r="G262" s="9"/>
      <c r="H262" s="9"/>
      <c r="I262" s="9"/>
    </row>
    <row r="263" spans="3:11" x14ac:dyDescent="0.25">
      <c r="C263" s="24" t="s">
        <v>198</v>
      </c>
      <c r="D263" s="12" t="s">
        <v>147</v>
      </c>
      <c r="E263" t="s">
        <v>200</v>
      </c>
      <c r="F263" s="10"/>
      <c r="H263" s="6">
        <v>40</v>
      </c>
      <c r="I263" s="6">
        <v>40</v>
      </c>
      <c r="J263" s="10">
        <v>45583</v>
      </c>
    </row>
    <row r="264" spans="3:11" x14ac:dyDescent="0.25">
      <c r="C264" s="22"/>
      <c r="D264" s="12"/>
      <c r="F264" s="10"/>
      <c r="G264" t="s">
        <v>148</v>
      </c>
      <c r="H264" s="6">
        <v>20</v>
      </c>
      <c r="J264" s="10">
        <v>45587</v>
      </c>
    </row>
    <row r="265" spans="3:11" x14ac:dyDescent="0.25">
      <c r="C265" s="20" t="s">
        <v>4</v>
      </c>
      <c r="D265" s="9"/>
      <c r="E265" s="9" t="s">
        <v>5</v>
      </c>
      <c r="F265" s="9"/>
      <c r="G265" s="9"/>
      <c r="H265" s="9"/>
      <c r="I265" s="9"/>
    </row>
    <row r="266" spans="3:11" x14ac:dyDescent="0.25">
      <c r="C266" s="24" t="s">
        <v>199</v>
      </c>
      <c r="D266" s="12" t="s">
        <v>147</v>
      </c>
      <c r="E266" t="s">
        <v>200</v>
      </c>
      <c r="F266" s="10"/>
      <c r="H266" s="6">
        <v>40</v>
      </c>
      <c r="I266" s="6"/>
    </row>
    <row r="267" spans="3:11" x14ac:dyDescent="0.25">
      <c r="C267" s="22"/>
      <c r="D267" s="12"/>
      <c r="F267" s="10"/>
      <c r="G267" t="s">
        <v>148</v>
      </c>
      <c r="H267" s="6">
        <v>20</v>
      </c>
    </row>
    <row r="268" spans="3:11" x14ac:dyDescent="0.25">
      <c r="C268" s="22"/>
      <c r="D268" s="12" t="s">
        <v>6</v>
      </c>
      <c r="F268" s="10"/>
      <c r="H268" s="6">
        <v>5</v>
      </c>
      <c r="J268" s="10">
        <v>45621</v>
      </c>
      <c r="K268" t="s">
        <v>222</v>
      </c>
    </row>
    <row r="269" spans="3:11" x14ac:dyDescent="0.25">
      <c r="C269" s="33"/>
      <c r="D269" s="12"/>
      <c r="E269" s="13"/>
      <c r="F269" s="10"/>
      <c r="H269" s="13">
        <v>7</v>
      </c>
      <c r="I269" s="13"/>
    </row>
    <row r="270" spans="3:11" x14ac:dyDescent="0.25">
      <c r="C270" s="20" t="s">
        <v>4</v>
      </c>
      <c r="D270" s="9"/>
      <c r="E270" s="9" t="s">
        <v>5</v>
      </c>
      <c r="F270" s="9"/>
      <c r="G270" s="9"/>
      <c r="H270" s="9"/>
      <c r="I270" s="9"/>
    </row>
    <row r="271" spans="3:11" x14ac:dyDescent="0.25">
      <c r="C271" s="24" t="s">
        <v>221</v>
      </c>
      <c r="D271" s="12" t="s">
        <v>147</v>
      </c>
      <c r="F271" s="10"/>
      <c r="H271" s="6">
        <v>40</v>
      </c>
      <c r="I271" s="6"/>
    </row>
    <row r="272" spans="3:11" x14ac:dyDescent="0.25">
      <c r="C272" s="22"/>
      <c r="D272" s="12"/>
      <c r="F272" s="10"/>
      <c r="G272" t="s">
        <v>148</v>
      </c>
      <c r="H272" s="6">
        <v>20</v>
      </c>
    </row>
    <row r="273" spans="1:13" x14ac:dyDescent="0.25">
      <c r="C273" s="20" t="s">
        <v>4</v>
      </c>
      <c r="D273" s="9"/>
      <c r="E273" s="9" t="s">
        <v>5</v>
      </c>
      <c r="F273" s="9"/>
      <c r="G273" s="9"/>
      <c r="H273" s="9"/>
      <c r="I273" s="9"/>
    </row>
    <row r="274" spans="1:13" x14ac:dyDescent="0.25">
      <c r="C274" s="24" t="s">
        <v>229</v>
      </c>
      <c r="E274" t="s">
        <v>241</v>
      </c>
      <c r="F274" t="s">
        <v>242</v>
      </c>
    </row>
    <row r="275" spans="1:13" x14ac:dyDescent="0.25">
      <c r="C275" s="24"/>
      <c r="D275" t="s">
        <v>235</v>
      </c>
      <c r="E275" t="s">
        <v>236</v>
      </c>
      <c r="F275" s="10"/>
      <c r="H275" s="13">
        <v>25</v>
      </c>
      <c r="J275" s="10">
        <v>45614</v>
      </c>
      <c r="K275" s="13">
        <v>25</v>
      </c>
      <c r="M275" s="15">
        <v>45653</v>
      </c>
    </row>
    <row r="276" spans="1:13" x14ac:dyDescent="0.25">
      <c r="C276" s="24"/>
      <c r="F276" s="10"/>
      <c r="H276" s="13"/>
      <c r="J276" s="10"/>
    </row>
    <row r="277" spans="1:13" x14ac:dyDescent="0.25">
      <c r="C277"/>
      <c r="D277" s="12" t="s">
        <v>230</v>
      </c>
      <c r="F277" s="10"/>
      <c r="J277" s="10"/>
    </row>
    <row r="278" spans="1:13" x14ac:dyDescent="0.25">
      <c r="C278"/>
      <c r="D278" s="12" t="s">
        <v>231</v>
      </c>
      <c r="F278" s="10"/>
      <c r="G278" t="s">
        <v>148</v>
      </c>
    </row>
    <row r="279" spans="1:13" x14ac:dyDescent="0.25">
      <c r="C279"/>
      <c r="D279" s="12" t="s">
        <v>232</v>
      </c>
      <c r="G279" t="s">
        <v>234</v>
      </c>
      <c r="H279" s="6">
        <v>15</v>
      </c>
      <c r="J279" s="10">
        <v>45653</v>
      </c>
      <c r="L279" s="6">
        <v>15</v>
      </c>
    </row>
    <row r="280" spans="1:13" x14ac:dyDescent="0.25">
      <c r="C280"/>
      <c r="D280" s="12" t="s">
        <v>233</v>
      </c>
    </row>
    <row r="281" spans="1:13" x14ac:dyDescent="0.25">
      <c r="C281" s="20" t="s">
        <v>4</v>
      </c>
      <c r="D281" s="9"/>
      <c r="E281" s="9" t="s">
        <v>5</v>
      </c>
      <c r="F281" s="9"/>
      <c r="G281" s="9"/>
      <c r="H281" s="9"/>
      <c r="I281" s="9"/>
    </row>
    <row r="282" spans="1:13" ht="30" x14ac:dyDescent="0.25">
      <c r="A282" s="6"/>
      <c r="B282" s="29" t="s">
        <v>156</v>
      </c>
      <c r="D282" s="6" t="s">
        <v>44</v>
      </c>
      <c r="E282" s="6"/>
      <c r="F282" s="16"/>
      <c r="G282" s="6"/>
      <c r="H282" s="6">
        <v>2177.7179999999998</v>
      </c>
      <c r="I282" s="6"/>
    </row>
    <row r="283" spans="1:13" x14ac:dyDescent="0.25">
      <c r="C283"/>
      <c r="F283" s="10"/>
    </row>
    <row r="284" spans="1:13" x14ac:dyDescent="0.25">
      <c r="C284" t="s">
        <v>160</v>
      </c>
      <c r="D284" t="s">
        <v>157</v>
      </c>
      <c r="F284" t="s">
        <v>158</v>
      </c>
      <c r="H284" s="6">
        <v>217.77180000000001</v>
      </c>
      <c r="I284" s="6">
        <v>217.77180000000001</v>
      </c>
      <c r="J284" s="10">
        <v>45622</v>
      </c>
    </row>
    <row r="285" spans="1:13" x14ac:dyDescent="0.25">
      <c r="C285"/>
    </row>
    <row r="286" spans="1:13" x14ac:dyDescent="0.25">
      <c r="B286" t="s">
        <v>159</v>
      </c>
      <c r="C286"/>
      <c r="F286" s="10">
        <v>45590</v>
      </c>
    </row>
    <row r="287" spans="1:13" x14ac:dyDescent="0.25">
      <c r="C287" t="s">
        <v>103</v>
      </c>
    </row>
    <row r="288" spans="1:13" x14ac:dyDescent="0.25">
      <c r="A288" s="13">
        <v>1</v>
      </c>
      <c r="C288"/>
      <c r="D288" t="s">
        <v>207</v>
      </c>
      <c r="G288" t="s">
        <v>20</v>
      </c>
    </row>
    <row r="289" spans="1:13" x14ac:dyDescent="0.25">
      <c r="C289"/>
      <c r="D289" t="s">
        <v>223</v>
      </c>
      <c r="F289" s="10">
        <v>45580</v>
      </c>
      <c r="G289" t="s">
        <v>224</v>
      </c>
      <c r="H289" s="6">
        <v>10</v>
      </c>
      <c r="I289" s="6">
        <v>10</v>
      </c>
      <c r="J289" s="10">
        <v>45623</v>
      </c>
    </row>
    <row r="290" spans="1:13" x14ac:dyDescent="0.25">
      <c r="C290"/>
      <c r="D290" t="s">
        <v>225</v>
      </c>
      <c r="F290" s="10">
        <v>45616</v>
      </c>
      <c r="G290" t="s">
        <v>224</v>
      </c>
      <c r="H290" s="6">
        <v>7</v>
      </c>
      <c r="I290" s="6">
        <v>7</v>
      </c>
      <c r="J290" s="10">
        <v>45623</v>
      </c>
    </row>
    <row r="291" spans="1:13" x14ac:dyDescent="0.25">
      <c r="C291"/>
      <c r="D291" t="s">
        <v>174</v>
      </c>
    </row>
    <row r="292" spans="1:13" x14ac:dyDescent="0.25">
      <c r="A292" s="13">
        <v>1</v>
      </c>
      <c r="C292"/>
      <c r="D292" t="s">
        <v>175</v>
      </c>
      <c r="G292" t="s">
        <v>203</v>
      </c>
      <c r="H292" t="s">
        <v>204</v>
      </c>
      <c r="I292" s="6">
        <v>5</v>
      </c>
      <c r="J292" s="10">
        <v>45593</v>
      </c>
    </row>
    <row r="293" spans="1:13" x14ac:dyDescent="0.25">
      <c r="A293" s="13"/>
      <c r="C293"/>
      <c r="D293" t="s">
        <v>175</v>
      </c>
      <c r="G293" t="s">
        <v>203</v>
      </c>
      <c r="H293" t="s">
        <v>226</v>
      </c>
      <c r="I293" s="6">
        <v>5</v>
      </c>
      <c r="J293" s="10">
        <v>45629</v>
      </c>
    </row>
    <row r="294" spans="1:13" x14ac:dyDescent="0.25">
      <c r="A294" s="13"/>
      <c r="C294"/>
      <c r="G294" t="s">
        <v>203</v>
      </c>
      <c r="H294" t="s">
        <v>228</v>
      </c>
      <c r="I294" s="6">
        <v>10</v>
      </c>
      <c r="J294" s="10">
        <v>45641</v>
      </c>
    </row>
    <row r="295" spans="1:13" x14ac:dyDescent="0.25">
      <c r="C295" t="s">
        <v>12</v>
      </c>
      <c r="G295" t="s">
        <v>64</v>
      </c>
      <c r="H295">
        <v>30</v>
      </c>
      <c r="I295" s="6">
        <v>25</v>
      </c>
      <c r="J295" s="10">
        <v>45650</v>
      </c>
    </row>
    <row r="296" spans="1:13" x14ac:dyDescent="0.25">
      <c r="C296" t="s">
        <v>106</v>
      </c>
      <c r="G296" t="s">
        <v>100</v>
      </c>
    </row>
    <row r="297" spans="1:13" x14ac:dyDescent="0.25">
      <c r="C297" t="s">
        <v>106</v>
      </c>
    </row>
    <row r="298" spans="1:13" x14ac:dyDescent="0.25">
      <c r="C298"/>
    </row>
    <row r="299" spans="1:13" x14ac:dyDescent="0.25">
      <c r="C299" t="s">
        <v>6</v>
      </c>
      <c r="D299" t="s">
        <v>243</v>
      </c>
      <c r="H299" s="6">
        <v>5</v>
      </c>
      <c r="I299" s="6">
        <v>5</v>
      </c>
      <c r="J299" s="16">
        <v>45643</v>
      </c>
    </row>
    <row r="300" spans="1:13" x14ac:dyDescent="0.25">
      <c r="C300" t="s">
        <v>6</v>
      </c>
      <c r="D300" t="s">
        <v>103</v>
      </c>
      <c r="H300">
        <v>10</v>
      </c>
      <c r="I300" s="6">
        <f>I302+I303</f>
        <v>5</v>
      </c>
      <c r="M300" s="16">
        <v>45653</v>
      </c>
    </row>
    <row r="301" spans="1:13" x14ac:dyDescent="0.25">
      <c r="C301" t="s">
        <v>6</v>
      </c>
      <c r="D301" t="s">
        <v>103</v>
      </c>
      <c r="J301" s="6" t="s">
        <v>244</v>
      </c>
      <c r="M301" s="16"/>
    </row>
    <row r="302" spans="1:13" x14ac:dyDescent="0.25">
      <c r="C302" t="s">
        <v>6</v>
      </c>
      <c r="D302" t="s">
        <v>103</v>
      </c>
      <c r="I302" s="9">
        <v>5</v>
      </c>
      <c r="J302" s="16">
        <v>45655</v>
      </c>
    </row>
    <row r="303" spans="1:13" x14ac:dyDescent="0.25">
      <c r="C303" t="s">
        <v>6</v>
      </c>
      <c r="D303" t="s">
        <v>103</v>
      </c>
      <c r="H303" s="9">
        <v>5</v>
      </c>
      <c r="J303" t="s">
        <v>246</v>
      </c>
    </row>
    <row r="304" spans="1:13" x14ac:dyDescent="0.25">
      <c r="C304"/>
    </row>
    <row r="305" spans="3:10" x14ac:dyDescent="0.25">
      <c r="C305"/>
    </row>
    <row r="306" spans="3:10" x14ac:dyDescent="0.25">
      <c r="C306"/>
    </row>
    <row r="307" spans="3:10" x14ac:dyDescent="0.25">
      <c r="C307" s="20" t="s">
        <v>4</v>
      </c>
      <c r="D307" s="9"/>
      <c r="E307" s="9" t="s">
        <v>5</v>
      </c>
      <c r="F307" s="9"/>
      <c r="G307" s="9"/>
      <c r="H307" s="9"/>
      <c r="I307" s="9"/>
      <c r="J307" s="9"/>
    </row>
    <row r="315" spans="3:10" x14ac:dyDescent="0.25">
      <c r="C315"/>
    </row>
    <row r="316" spans="3:10" x14ac:dyDescent="0.25">
      <c r="C316"/>
      <c r="J316" s="10"/>
    </row>
    <row r="317" spans="3:10" x14ac:dyDescent="0.25">
      <c r="C317"/>
    </row>
    <row r="318" spans="3:10" x14ac:dyDescent="0.25">
      <c r="C318"/>
    </row>
    <row r="319" spans="3:10" x14ac:dyDescent="0.25">
      <c r="C319"/>
    </row>
    <row r="320" spans="3:10" x14ac:dyDescent="0.25">
      <c r="C320"/>
    </row>
    <row r="321" spans="3:10" x14ac:dyDescent="0.25">
      <c r="C321"/>
    </row>
    <row r="322" spans="3:10" x14ac:dyDescent="0.25">
      <c r="C322"/>
    </row>
    <row r="323" spans="3:10" x14ac:dyDescent="0.25">
      <c r="C323"/>
    </row>
    <row r="324" spans="3:10" x14ac:dyDescent="0.25">
      <c r="C324"/>
    </row>
    <row r="325" spans="3:10" x14ac:dyDescent="0.25">
      <c r="C325"/>
    </row>
    <row r="326" spans="3:10" x14ac:dyDescent="0.25">
      <c r="C326"/>
    </row>
    <row r="327" spans="3:10" x14ac:dyDescent="0.25">
      <c r="C327"/>
    </row>
    <row r="328" spans="3:10" x14ac:dyDescent="0.25">
      <c r="C328" s="20" t="s">
        <v>4</v>
      </c>
      <c r="D328" s="9"/>
      <c r="E328" s="9" t="s">
        <v>5</v>
      </c>
      <c r="F328" s="9"/>
      <c r="G328" s="9"/>
      <c r="H328" s="9"/>
      <c r="I328" s="9"/>
      <c r="J328" s="9"/>
    </row>
  </sheetData>
  <autoFilter ref="C2:J153"/>
  <hyperlinks>
    <hyperlink ref="G73" r:id="rId1"/>
    <hyperlink ref="E158" r:id="rId2" display="mailto:kbosizo-1@yandex.ru"/>
    <hyperlink ref="E159" r:id="rId3"/>
    <hyperlink ref="H163" r:id="rId4"/>
  </hyperlinks>
  <pageMargins left="0.7" right="0.7" top="0.75" bottom="0.75" header="0.3" footer="0.3"/>
  <pageSetup paperSize="9" scale="10" orientation="landscape" r:id="rId5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2">
    <pageSetUpPr fitToPage="1"/>
  </sheetPr>
  <dimension ref="A1:NP68"/>
  <sheetViews>
    <sheetView zoomScaleNormal="100" workbookViewId="0">
      <pane xSplit="14" ySplit="1" topLeftCell="NM2" activePane="bottomRight" state="frozen"/>
      <selection pane="topRight" activeCell="N1" sqref="N1"/>
      <selection pane="bottomLeft" activeCell="A2" sqref="A2"/>
      <selection pane="bottomRight" activeCell="E30" sqref="E30"/>
    </sheetView>
  </sheetViews>
  <sheetFormatPr defaultRowHeight="15" x14ac:dyDescent="0.25"/>
  <cols>
    <col min="1" max="1" width="6" customWidth="1"/>
    <col min="2" max="2" width="9.85546875" customWidth="1"/>
    <col min="3" max="3" width="25.140625" style="21" customWidth="1"/>
    <col min="4" max="4" width="17" customWidth="1"/>
    <col min="5" max="5" width="22.5703125" customWidth="1"/>
    <col min="6" max="7" width="17.5703125" customWidth="1"/>
    <col min="8" max="8" width="17.7109375" customWidth="1"/>
    <col min="9" max="9" width="21.140625" customWidth="1"/>
    <col min="10" max="10" width="12.85546875" customWidth="1"/>
    <col min="11" max="11" width="22.7109375" customWidth="1"/>
    <col min="12" max="12" width="9.42578125" customWidth="1"/>
    <col min="13" max="13" width="7.5703125" customWidth="1"/>
    <col min="14" max="14" width="9.42578125" customWidth="1"/>
    <col min="15" max="380" width="3.7109375" customWidth="1"/>
  </cols>
  <sheetData>
    <row r="1" spans="1:380" ht="78" thickBot="1" x14ac:dyDescent="0.3">
      <c r="A1" s="35" t="s">
        <v>281</v>
      </c>
      <c r="B1" s="36" t="s">
        <v>31</v>
      </c>
      <c r="C1" s="40" t="s">
        <v>282</v>
      </c>
      <c r="D1" s="40" t="s">
        <v>283</v>
      </c>
      <c r="E1" s="40" t="s">
        <v>284</v>
      </c>
      <c r="F1" s="40" t="s">
        <v>278</v>
      </c>
      <c r="G1" s="40" t="s">
        <v>287</v>
      </c>
      <c r="H1" s="36" t="s">
        <v>261</v>
      </c>
      <c r="I1" s="36" t="s">
        <v>2</v>
      </c>
      <c r="J1" s="36" t="s">
        <v>3</v>
      </c>
      <c r="K1" s="36" t="s">
        <v>1</v>
      </c>
      <c r="L1" s="36" t="s">
        <v>188</v>
      </c>
      <c r="M1" s="36" t="s">
        <v>237</v>
      </c>
      <c r="N1" s="37" t="s">
        <v>238</v>
      </c>
      <c r="O1" s="45" t="s">
        <v>275</v>
      </c>
      <c r="P1" s="46">
        <v>45658</v>
      </c>
      <c r="Q1" s="46">
        <v>45659</v>
      </c>
      <c r="R1" s="46">
        <v>45660</v>
      </c>
      <c r="S1" s="46">
        <v>45661</v>
      </c>
      <c r="T1" s="46">
        <v>45662</v>
      </c>
      <c r="U1" s="46">
        <v>45663</v>
      </c>
      <c r="V1" s="46">
        <v>45664</v>
      </c>
      <c r="W1" s="46">
        <v>45665</v>
      </c>
      <c r="X1" s="46">
        <v>45666</v>
      </c>
      <c r="Y1" s="46">
        <v>45667</v>
      </c>
      <c r="Z1" s="46">
        <v>45668</v>
      </c>
      <c r="AA1" s="46">
        <v>45669</v>
      </c>
      <c r="AB1" s="46">
        <v>45670</v>
      </c>
      <c r="AC1" s="46">
        <v>45671</v>
      </c>
      <c r="AD1" s="46">
        <v>45672</v>
      </c>
      <c r="AE1" s="46">
        <v>45673</v>
      </c>
      <c r="AF1" s="46">
        <v>45674</v>
      </c>
      <c r="AG1" s="46">
        <v>45675</v>
      </c>
      <c r="AH1" s="46">
        <v>45676</v>
      </c>
      <c r="AI1" s="46">
        <v>45677</v>
      </c>
      <c r="AJ1" s="46">
        <v>45678</v>
      </c>
      <c r="AK1" s="46">
        <v>45679</v>
      </c>
      <c r="AL1" s="46">
        <v>45680</v>
      </c>
      <c r="AM1" s="46">
        <v>45681</v>
      </c>
      <c r="AN1" s="46">
        <v>45682</v>
      </c>
      <c r="AO1" s="46">
        <v>45683</v>
      </c>
      <c r="AP1" s="46">
        <v>45684</v>
      </c>
      <c r="AQ1" s="46">
        <v>45685</v>
      </c>
      <c r="AR1" s="46">
        <v>45686</v>
      </c>
      <c r="AS1" s="46">
        <v>45687</v>
      </c>
      <c r="AT1" s="46">
        <v>45688</v>
      </c>
      <c r="AU1" s="46">
        <v>45689</v>
      </c>
      <c r="AV1" s="46">
        <v>45690</v>
      </c>
      <c r="AW1" s="46">
        <v>45691</v>
      </c>
      <c r="AX1" s="46">
        <v>45692</v>
      </c>
      <c r="AY1" s="46">
        <v>45693</v>
      </c>
      <c r="AZ1" s="46">
        <v>45694</v>
      </c>
      <c r="BA1" s="46">
        <v>45695</v>
      </c>
      <c r="BB1" s="46">
        <v>45696</v>
      </c>
      <c r="BC1" s="46">
        <v>45697</v>
      </c>
      <c r="BD1" s="46">
        <v>45698</v>
      </c>
      <c r="BE1" s="46">
        <v>45699</v>
      </c>
      <c r="BF1" s="46">
        <v>45700</v>
      </c>
      <c r="BG1" s="46">
        <v>45701</v>
      </c>
      <c r="BH1" s="46">
        <v>45702</v>
      </c>
      <c r="BI1" s="46">
        <v>45703</v>
      </c>
      <c r="BJ1" s="46">
        <v>45704</v>
      </c>
      <c r="BK1" s="46">
        <v>45705</v>
      </c>
      <c r="BL1" s="46">
        <v>45706</v>
      </c>
      <c r="BM1" s="46">
        <v>45707</v>
      </c>
      <c r="BN1" s="46">
        <v>45708</v>
      </c>
      <c r="BO1" s="46">
        <v>45709</v>
      </c>
      <c r="BP1" s="46">
        <v>45710</v>
      </c>
      <c r="BQ1" s="46">
        <v>45711</v>
      </c>
      <c r="BR1" s="46">
        <v>45712</v>
      </c>
      <c r="BS1" s="46">
        <v>45713</v>
      </c>
      <c r="BT1" s="46">
        <v>45714</v>
      </c>
      <c r="BU1" s="46">
        <v>45715</v>
      </c>
      <c r="BV1" s="47">
        <v>45716</v>
      </c>
      <c r="BW1" s="47">
        <v>45717</v>
      </c>
      <c r="BX1" s="47">
        <v>45718</v>
      </c>
      <c r="BY1" s="47">
        <v>45719</v>
      </c>
      <c r="BZ1" s="47">
        <v>45720</v>
      </c>
      <c r="CA1" s="47">
        <v>45721</v>
      </c>
      <c r="CB1" s="47">
        <v>45722</v>
      </c>
      <c r="CC1" s="47">
        <v>45723</v>
      </c>
      <c r="CD1" s="47">
        <v>45724</v>
      </c>
      <c r="CE1" s="47">
        <v>45725</v>
      </c>
      <c r="CF1" s="47">
        <v>45726</v>
      </c>
      <c r="CG1" s="47">
        <v>45727</v>
      </c>
      <c r="CH1" s="47">
        <v>45728</v>
      </c>
      <c r="CI1" s="47">
        <v>45729</v>
      </c>
      <c r="CJ1" s="47">
        <v>45730</v>
      </c>
      <c r="CK1" s="47">
        <v>45731</v>
      </c>
      <c r="CL1" s="47">
        <v>45732</v>
      </c>
      <c r="CM1" s="47">
        <v>45733</v>
      </c>
      <c r="CN1" s="47">
        <v>45734</v>
      </c>
      <c r="CO1" s="47">
        <v>45735</v>
      </c>
      <c r="CP1" s="47">
        <v>45736</v>
      </c>
      <c r="CQ1" s="47">
        <v>45737</v>
      </c>
      <c r="CR1" s="47">
        <v>45738</v>
      </c>
      <c r="CS1" s="47">
        <v>45739</v>
      </c>
      <c r="CT1" s="47">
        <v>45740</v>
      </c>
      <c r="CU1" s="47">
        <v>45741</v>
      </c>
      <c r="CV1" s="47">
        <v>45742</v>
      </c>
      <c r="CW1" s="47">
        <v>45743</v>
      </c>
      <c r="CX1" s="47">
        <v>45744</v>
      </c>
      <c r="CY1" s="47">
        <v>45745</v>
      </c>
      <c r="CZ1" s="47">
        <v>45746</v>
      </c>
      <c r="DA1" s="47">
        <v>45747</v>
      </c>
      <c r="DB1" s="47">
        <v>45748</v>
      </c>
      <c r="DC1" s="47">
        <v>45749</v>
      </c>
      <c r="DD1" s="47">
        <v>45750</v>
      </c>
      <c r="DE1" s="47">
        <v>45751</v>
      </c>
      <c r="DF1" s="47">
        <v>45752</v>
      </c>
      <c r="DG1" s="47">
        <v>45753</v>
      </c>
      <c r="DH1" s="47">
        <v>45754</v>
      </c>
      <c r="DI1" s="47">
        <v>45755</v>
      </c>
      <c r="DJ1" s="47">
        <v>45756</v>
      </c>
      <c r="DK1" s="47">
        <v>45757</v>
      </c>
      <c r="DL1" s="47">
        <v>45758</v>
      </c>
      <c r="DM1" s="47">
        <v>45759</v>
      </c>
      <c r="DN1" s="47">
        <v>45760</v>
      </c>
      <c r="DO1" s="47">
        <v>45761</v>
      </c>
      <c r="DP1" s="47">
        <v>45762</v>
      </c>
      <c r="DQ1" s="47">
        <v>45763</v>
      </c>
      <c r="DR1" s="47">
        <v>45764</v>
      </c>
      <c r="DS1" s="47">
        <v>45765</v>
      </c>
      <c r="DT1" s="47">
        <v>45766</v>
      </c>
      <c r="DU1" s="47">
        <v>45767</v>
      </c>
      <c r="DV1" s="47">
        <v>45768</v>
      </c>
      <c r="DW1" s="47">
        <v>45769</v>
      </c>
      <c r="DX1" s="47">
        <v>45770</v>
      </c>
      <c r="DY1" s="47">
        <v>45771</v>
      </c>
      <c r="DZ1" s="47">
        <v>45772</v>
      </c>
      <c r="EA1" s="47">
        <v>45773</v>
      </c>
      <c r="EB1" s="47">
        <v>45774</v>
      </c>
      <c r="EC1" s="47">
        <v>45775</v>
      </c>
      <c r="ED1" s="47">
        <v>45776</v>
      </c>
      <c r="EE1" s="47">
        <v>45777</v>
      </c>
      <c r="EF1" s="47">
        <v>45778</v>
      </c>
      <c r="EG1" s="47">
        <v>45779</v>
      </c>
      <c r="EH1" s="47">
        <v>45780</v>
      </c>
      <c r="EI1" s="47">
        <v>45781</v>
      </c>
      <c r="EJ1" s="47">
        <v>45782</v>
      </c>
      <c r="EK1" s="47">
        <v>45783</v>
      </c>
      <c r="EL1" s="47">
        <v>45784</v>
      </c>
      <c r="EM1" s="47">
        <v>45785</v>
      </c>
      <c r="EN1" s="47">
        <v>45786</v>
      </c>
      <c r="EO1" s="47">
        <v>45787</v>
      </c>
      <c r="EP1" s="47">
        <v>45788</v>
      </c>
      <c r="EQ1" s="47">
        <v>45789</v>
      </c>
      <c r="ER1" s="47">
        <v>45790</v>
      </c>
      <c r="ES1" s="47">
        <v>45791</v>
      </c>
      <c r="ET1" s="47">
        <v>45792</v>
      </c>
      <c r="EU1" s="47">
        <v>45793</v>
      </c>
      <c r="EV1" s="47">
        <v>45794</v>
      </c>
      <c r="EW1" s="47">
        <v>45795</v>
      </c>
      <c r="EX1" s="47">
        <v>45796</v>
      </c>
      <c r="EY1" s="47">
        <v>45797</v>
      </c>
      <c r="EZ1" s="47">
        <v>45798</v>
      </c>
      <c r="FA1" s="47">
        <v>45799</v>
      </c>
      <c r="FB1" s="47">
        <v>45800</v>
      </c>
      <c r="FC1" s="47">
        <v>45801</v>
      </c>
      <c r="FD1" s="47">
        <v>45802</v>
      </c>
      <c r="FE1" s="47">
        <v>45803</v>
      </c>
      <c r="FF1" s="47">
        <v>45804</v>
      </c>
      <c r="FG1" s="47">
        <v>45805</v>
      </c>
      <c r="FH1" s="47">
        <v>45806</v>
      </c>
      <c r="FI1" s="47">
        <v>45807</v>
      </c>
      <c r="FJ1" s="47">
        <v>45808</v>
      </c>
      <c r="FK1" s="47">
        <v>45809</v>
      </c>
      <c r="FL1" s="47">
        <v>45810</v>
      </c>
      <c r="FM1" s="47">
        <v>45811</v>
      </c>
      <c r="FN1" s="47">
        <v>45812</v>
      </c>
      <c r="FO1" s="47">
        <v>45813</v>
      </c>
      <c r="FP1" s="47">
        <v>45814</v>
      </c>
      <c r="FQ1" s="47">
        <v>45815</v>
      </c>
      <c r="FR1" s="47">
        <v>45816</v>
      </c>
      <c r="FS1" s="47">
        <v>45817</v>
      </c>
      <c r="FT1" s="47">
        <v>45818</v>
      </c>
      <c r="FU1" s="47">
        <v>45819</v>
      </c>
      <c r="FV1" s="47">
        <v>45820</v>
      </c>
      <c r="FW1" s="47">
        <v>45821</v>
      </c>
      <c r="FX1" s="47">
        <v>45822</v>
      </c>
      <c r="FY1" s="47">
        <v>45823</v>
      </c>
      <c r="FZ1" s="47">
        <v>45824</v>
      </c>
      <c r="GA1" s="47">
        <v>45825</v>
      </c>
      <c r="GB1" s="47">
        <v>45826</v>
      </c>
      <c r="GC1" s="47">
        <v>45827</v>
      </c>
      <c r="GD1" s="47">
        <v>45828</v>
      </c>
      <c r="GE1" s="47">
        <v>45829</v>
      </c>
      <c r="GF1" s="47">
        <v>45830</v>
      </c>
      <c r="GG1" s="47">
        <v>45831</v>
      </c>
      <c r="GH1" s="47">
        <v>45832</v>
      </c>
      <c r="GI1" s="47">
        <v>45833</v>
      </c>
      <c r="GJ1" s="47">
        <v>45834</v>
      </c>
      <c r="GK1" s="47">
        <v>45835</v>
      </c>
      <c r="GL1" s="47">
        <v>45836</v>
      </c>
      <c r="GM1" s="47">
        <v>45837</v>
      </c>
      <c r="GN1" s="47">
        <v>45838</v>
      </c>
      <c r="GO1" s="47">
        <v>45839</v>
      </c>
      <c r="GP1" s="47">
        <v>45840</v>
      </c>
      <c r="GQ1" s="47">
        <v>45841</v>
      </c>
      <c r="GR1" s="47">
        <v>45842</v>
      </c>
      <c r="GS1" s="47">
        <v>45843</v>
      </c>
      <c r="GT1" s="47">
        <v>45844</v>
      </c>
      <c r="GU1" s="47">
        <v>45845</v>
      </c>
      <c r="GV1" s="47">
        <v>45846</v>
      </c>
      <c r="GW1" s="47">
        <v>45847</v>
      </c>
      <c r="GX1" s="47">
        <v>45848</v>
      </c>
      <c r="GY1" s="47">
        <v>45849</v>
      </c>
      <c r="GZ1" s="47">
        <v>45850</v>
      </c>
      <c r="HA1" s="47">
        <v>45851</v>
      </c>
      <c r="HB1" s="47">
        <v>45852</v>
      </c>
      <c r="HC1" s="47">
        <v>45853</v>
      </c>
      <c r="HD1" s="47">
        <v>45854</v>
      </c>
      <c r="HE1" s="47">
        <v>45855</v>
      </c>
      <c r="HF1" s="47">
        <v>45856</v>
      </c>
      <c r="HG1" s="47">
        <v>45857</v>
      </c>
      <c r="HH1" s="47">
        <v>45858</v>
      </c>
      <c r="HI1" s="47">
        <v>45859</v>
      </c>
      <c r="HJ1" s="47">
        <v>45860</v>
      </c>
      <c r="HK1" s="47">
        <v>45861</v>
      </c>
      <c r="HL1" s="47">
        <v>45862</v>
      </c>
      <c r="HM1" s="47">
        <v>45863</v>
      </c>
      <c r="HN1" s="47">
        <v>45864</v>
      </c>
      <c r="HO1" s="47">
        <v>45865</v>
      </c>
      <c r="HP1" s="47">
        <v>45866</v>
      </c>
      <c r="HQ1" s="47">
        <v>45867</v>
      </c>
      <c r="HR1" s="47">
        <v>45868</v>
      </c>
      <c r="HS1" s="47">
        <v>45869</v>
      </c>
      <c r="HT1" s="47">
        <v>45870</v>
      </c>
      <c r="HU1" s="47">
        <v>45871</v>
      </c>
      <c r="HV1" s="47">
        <v>45872</v>
      </c>
      <c r="HW1" s="47">
        <v>45873</v>
      </c>
      <c r="HX1" s="47">
        <v>45874</v>
      </c>
      <c r="HY1" s="47">
        <v>45875</v>
      </c>
      <c r="HZ1" s="47">
        <v>45876</v>
      </c>
      <c r="IA1" s="47">
        <v>45877</v>
      </c>
      <c r="IB1" s="47">
        <v>45878</v>
      </c>
      <c r="IC1" s="47">
        <v>45879</v>
      </c>
      <c r="ID1" s="47">
        <v>45880</v>
      </c>
      <c r="IE1" s="47">
        <v>45881</v>
      </c>
      <c r="IF1" s="47">
        <v>45882</v>
      </c>
      <c r="IG1" s="47">
        <v>45883</v>
      </c>
      <c r="IH1" s="47">
        <v>45884</v>
      </c>
      <c r="II1" s="47">
        <v>45885</v>
      </c>
      <c r="IJ1" s="47">
        <v>45886</v>
      </c>
      <c r="IK1" s="47">
        <v>45887</v>
      </c>
      <c r="IL1" s="47">
        <v>45888</v>
      </c>
      <c r="IM1" s="47">
        <v>45889</v>
      </c>
      <c r="IN1" s="47">
        <v>45890</v>
      </c>
      <c r="IO1" s="47">
        <v>45891</v>
      </c>
      <c r="IP1" s="47">
        <v>45892</v>
      </c>
      <c r="IQ1" s="47">
        <v>45893</v>
      </c>
      <c r="IR1" s="47">
        <v>45894</v>
      </c>
      <c r="IS1" s="47">
        <v>45895</v>
      </c>
      <c r="IT1" s="47">
        <v>45896</v>
      </c>
      <c r="IU1" s="47">
        <v>45897</v>
      </c>
      <c r="IV1" s="47">
        <v>45898</v>
      </c>
      <c r="IW1" s="47">
        <v>45899</v>
      </c>
      <c r="IX1" s="47">
        <v>45900</v>
      </c>
      <c r="IY1" s="47">
        <v>45901</v>
      </c>
      <c r="IZ1" s="47">
        <v>45902</v>
      </c>
      <c r="JA1" s="47">
        <v>45903</v>
      </c>
      <c r="JB1" s="47">
        <v>45904</v>
      </c>
      <c r="JC1" s="47">
        <v>45905</v>
      </c>
      <c r="JD1" s="47">
        <v>45906</v>
      </c>
      <c r="JE1" s="47">
        <v>45907</v>
      </c>
      <c r="JF1" s="47">
        <v>45908</v>
      </c>
      <c r="JG1" s="47">
        <v>45909</v>
      </c>
      <c r="JH1" s="47">
        <v>45910</v>
      </c>
      <c r="JI1" s="47">
        <v>45911</v>
      </c>
      <c r="JJ1" s="47">
        <v>45912</v>
      </c>
      <c r="JK1" s="47">
        <v>45913</v>
      </c>
      <c r="JL1" s="47">
        <v>45914</v>
      </c>
      <c r="JM1" s="47">
        <v>45915</v>
      </c>
      <c r="JN1" s="47">
        <v>45916</v>
      </c>
      <c r="JO1" s="47">
        <v>45917</v>
      </c>
      <c r="JP1" s="47">
        <v>45918</v>
      </c>
      <c r="JQ1" s="47">
        <v>45919</v>
      </c>
      <c r="JR1" s="47">
        <v>45920</v>
      </c>
      <c r="JS1" s="47">
        <v>45921</v>
      </c>
      <c r="JT1" s="47">
        <v>45922</v>
      </c>
      <c r="JU1" s="47">
        <v>45923</v>
      </c>
      <c r="JV1" s="47">
        <v>45924</v>
      </c>
      <c r="JW1" s="47">
        <v>45925</v>
      </c>
      <c r="JX1" s="47">
        <v>45926</v>
      </c>
      <c r="JY1" s="47">
        <v>45927</v>
      </c>
      <c r="JZ1" s="47">
        <v>45928</v>
      </c>
      <c r="KA1" s="47">
        <v>45929</v>
      </c>
      <c r="KB1" s="47">
        <v>45930</v>
      </c>
      <c r="KC1" s="47">
        <v>45931</v>
      </c>
      <c r="KD1" s="47">
        <v>45932</v>
      </c>
      <c r="KE1" s="47">
        <v>45933</v>
      </c>
      <c r="KF1" s="47">
        <v>45934</v>
      </c>
      <c r="KG1" s="47">
        <v>45935</v>
      </c>
      <c r="KH1" s="47">
        <v>45936</v>
      </c>
      <c r="KI1" s="47">
        <v>45937</v>
      </c>
      <c r="KJ1" s="47">
        <v>45938</v>
      </c>
      <c r="KK1" s="47">
        <v>45939</v>
      </c>
      <c r="KL1" s="47">
        <v>45940</v>
      </c>
      <c r="KM1" s="47">
        <v>45941</v>
      </c>
      <c r="KN1" s="47">
        <v>45942</v>
      </c>
      <c r="KO1" s="47">
        <v>45943</v>
      </c>
      <c r="KP1" s="47">
        <v>45944</v>
      </c>
      <c r="KQ1" s="47">
        <v>45945</v>
      </c>
      <c r="KR1" s="47">
        <v>45946</v>
      </c>
      <c r="KS1" s="47">
        <v>45947</v>
      </c>
      <c r="KT1" s="47">
        <v>45948</v>
      </c>
      <c r="KU1" s="47">
        <v>45949</v>
      </c>
      <c r="KV1" s="47">
        <v>45950</v>
      </c>
      <c r="KW1" s="47">
        <v>45951</v>
      </c>
      <c r="KX1" s="47">
        <v>45952</v>
      </c>
      <c r="KY1" s="47">
        <v>45953</v>
      </c>
      <c r="KZ1" s="47">
        <v>45954</v>
      </c>
      <c r="LA1" s="47">
        <v>45955</v>
      </c>
      <c r="LB1" s="47">
        <v>45956</v>
      </c>
      <c r="LC1" s="47">
        <v>45957</v>
      </c>
      <c r="LD1" s="47">
        <v>45958</v>
      </c>
      <c r="LE1" s="47">
        <v>45959</v>
      </c>
      <c r="LF1" s="47">
        <v>45960</v>
      </c>
      <c r="LG1" s="47">
        <v>45961</v>
      </c>
      <c r="LH1" s="47">
        <v>45962</v>
      </c>
      <c r="LI1" s="47">
        <v>45963</v>
      </c>
      <c r="LJ1" s="47">
        <v>45964</v>
      </c>
      <c r="LK1" s="47">
        <v>45965</v>
      </c>
      <c r="LL1" s="47">
        <v>45966</v>
      </c>
      <c r="LM1" s="47">
        <v>45967</v>
      </c>
      <c r="LN1" s="47">
        <v>45968</v>
      </c>
      <c r="LO1" s="47">
        <v>45969</v>
      </c>
      <c r="LP1" s="47">
        <v>45970</v>
      </c>
      <c r="LQ1" s="47">
        <v>45971</v>
      </c>
      <c r="LR1" s="47">
        <v>45972</v>
      </c>
      <c r="LS1" s="47">
        <v>45973</v>
      </c>
      <c r="LT1" s="47">
        <v>45974</v>
      </c>
      <c r="LU1" s="47">
        <v>45975</v>
      </c>
      <c r="LV1" s="47">
        <v>45976</v>
      </c>
      <c r="LW1" s="47">
        <v>45977</v>
      </c>
      <c r="LX1" s="47">
        <v>45978</v>
      </c>
      <c r="LY1" s="47">
        <v>45979</v>
      </c>
      <c r="LZ1" s="47">
        <v>45980</v>
      </c>
      <c r="MA1" s="47">
        <v>45981</v>
      </c>
      <c r="MB1" s="47">
        <v>45982</v>
      </c>
      <c r="MC1" s="47">
        <v>45983</v>
      </c>
      <c r="MD1" s="47">
        <v>45984</v>
      </c>
      <c r="ME1" s="47">
        <v>45985</v>
      </c>
      <c r="MF1" s="47">
        <v>45986</v>
      </c>
      <c r="MG1" s="47">
        <v>45987</v>
      </c>
      <c r="MH1" s="47">
        <v>45988</v>
      </c>
      <c r="MI1" s="47">
        <v>45989</v>
      </c>
      <c r="MJ1" s="47">
        <v>45990</v>
      </c>
      <c r="MK1" s="47">
        <v>45991</v>
      </c>
      <c r="ML1" s="47">
        <v>45992</v>
      </c>
      <c r="MM1" s="47">
        <v>45993</v>
      </c>
      <c r="MN1" s="47">
        <v>45994</v>
      </c>
      <c r="MO1" s="47">
        <v>45995</v>
      </c>
      <c r="MP1" s="47">
        <v>45996</v>
      </c>
      <c r="MQ1" s="47">
        <v>45997</v>
      </c>
      <c r="MR1" s="47">
        <v>45998</v>
      </c>
      <c r="MS1" s="47">
        <v>45999</v>
      </c>
      <c r="MT1" s="47">
        <v>46000</v>
      </c>
      <c r="MU1" s="47">
        <v>46001</v>
      </c>
      <c r="MV1" s="47">
        <v>46002</v>
      </c>
      <c r="MW1" s="47">
        <v>46003</v>
      </c>
      <c r="MX1" s="47">
        <v>46004</v>
      </c>
      <c r="MY1" s="47">
        <v>46005</v>
      </c>
      <c r="MZ1" s="47">
        <v>46006</v>
      </c>
      <c r="NA1" s="47">
        <v>46007</v>
      </c>
      <c r="NB1" s="47">
        <v>46008</v>
      </c>
      <c r="NC1" s="47">
        <v>46009</v>
      </c>
      <c r="ND1" s="47">
        <v>46010</v>
      </c>
      <c r="NE1" s="47">
        <v>46011</v>
      </c>
      <c r="NF1" s="47">
        <v>46012</v>
      </c>
      <c r="NG1" s="47">
        <v>46013</v>
      </c>
      <c r="NH1" s="47">
        <v>46014</v>
      </c>
      <c r="NI1" s="47">
        <v>46015</v>
      </c>
      <c r="NJ1" s="47">
        <v>46016</v>
      </c>
      <c r="NK1" s="47">
        <v>46017</v>
      </c>
      <c r="NL1" s="47">
        <v>46018</v>
      </c>
      <c r="NM1" s="47">
        <v>46019</v>
      </c>
      <c r="NN1" s="47">
        <v>46020</v>
      </c>
      <c r="NO1" s="47">
        <v>46021</v>
      </c>
      <c r="NP1" s="47">
        <v>46022</v>
      </c>
    </row>
    <row r="2" spans="1:380" x14ac:dyDescent="0.25">
      <c r="A2" s="42"/>
      <c r="B2" s="42"/>
      <c r="C2" s="42"/>
      <c r="D2" s="42"/>
      <c r="E2" s="42"/>
      <c r="F2" s="42"/>
      <c r="G2" s="49"/>
      <c r="H2" s="42"/>
      <c r="I2" s="42"/>
      <c r="J2" s="50"/>
      <c r="K2" s="42"/>
      <c r="L2" s="42"/>
      <c r="M2" s="42"/>
      <c r="N2" s="42"/>
    </row>
    <row r="3" spans="1:380" x14ac:dyDescent="0.25">
      <c r="A3" s="51">
        <v>0</v>
      </c>
      <c r="B3" s="42" t="s">
        <v>157</v>
      </c>
      <c r="C3" s="42" t="s">
        <v>160</v>
      </c>
      <c r="D3" s="43">
        <v>45555</v>
      </c>
      <c r="E3" s="43">
        <v>45560</v>
      </c>
      <c r="F3" s="54" t="s">
        <v>288</v>
      </c>
      <c r="G3" s="49">
        <v>45560</v>
      </c>
      <c r="H3" s="42"/>
      <c r="I3" s="51">
        <v>217.77180000000001</v>
      </c>
      <c r="J3" s="51">
        <v>217.77180000000001</v>
      </c>
      <c r="K3" s="49" t="s">
        <v>264</v>
      </c>
      <c r="L3" s="42"/>
      <c r="M3" s="42"/>
      <c r="N3" s="42"/>
      <c r="P3" s="54" t="s">
        <v>160</v>
      </c>
    </row>
    <row r="4" spans="1:380" x14ac:dyDescent="0.25">
      <c r="A4" s="42"/>
      <c r="B4" s="42" t="s">
        <v>159</v>
      </c>
      <c r="C4" s="42"/>
      <c r="D4" s="42"/>
      <c r="E4" s="49">
        <v>45590</v>
      </c>
      <c r="F4" s="42"/>
      <c r="G4" s="42"/>
      <c r="H4" s="42"/>
      <c r="I4" s="42"/>
      <c r="J4" s="42"/>
      <c r="K4" s="42"/>
      <c r="L4" s="42"/>
      <c r="M4" s="42"/>
      <c r="N4" s="42"/>
    </row>
    <row r="5" spans="1:380" x14ac:dyDescent="0.25">
      <c r="A5" s="42"/>
      <c r="B5" s="42"/>
      <c r="C5" s="42"/>
      <c r="D5" s="42"/>
      <c r="E5" s="49"/>
      <c r="F5" s="42"/>
      <c r="G5" s="42"/>
      <c r="H5" s="42"/>
      <c r="I5" s="42"/>
      <c r="J5" s="42"/>
      <c r="K5" s="42"/>
      <c r="L5" s="42"/>
      <c r="M5" s="42"/>
      <c r="N5" s="42"/>
    </row>
    <row r="6" spans="1:380" x14ac:dyDescent="0.25">
      <c r="A6" s="42"/>
      <c r="B6" s="42" t="s">
        <v>267</v>
      </c>
      <c r="C6" s="52" t="s">
        <v>270</v>
      </c>
      <c r="D6" s="42"/>
      <c r="E6" s="49">
        <v>45666</v>
      </c>
      <c r="F6" s="42"/>
      <c r="G6" s="42"/>
      <c r="H6" s="42" t="s">
        <v>187</v>
      </c>
      <c r="I6" s="42"/>
      <c r="J6" s="42"/>
      <c r="K6" s="42" t="s">
        <v>271</v>
      </c>
      <c r="L6" s="42"/>
      <c r="M6" s="42"/>
      <c r="N6" s="42"/>
    </row>
    <row r="7" spans="1:380" x14ac:dyDescent="0.25">
      <c r="A7" s="42"/>
      <c r="B7" s="42"/>
      <c r="C7" s="42" t="s">
        <v>207</v>
      </c>
      <c r="D7" s="42"/>
      <c r="E7" s="42"/>
      <c r="F7" s="42"/>
      <c r="G7" s="42"/>
      <c r="H7" s="42" t="s">
        <v>20</v>
      </c>
      <c r="I7" s="42"/>
      <c r="J7" s="42"/>
      <c r="K7" s="42"/>
      <c r="L7" s="42"/>
      <c r="M7" s="42"/>
      <c r="N7" s="42"/>
    </row>
    <row r="8" spans="1:380" x14ac:dyDescent="0.25">
      <c r="A8" s="42"/>
      <c r="B8" s="42"/>
      <c r="C8" s="42" t="s">
        <v>223</v>
      </c>
      <c r="D8" s="42"/>
      <c r="E8" s="49">
        <v>45580</v>
      </c>
      <c r="F8" s="42"/>
      <c r="G8" s="42"/>
      <c r="H8" s="42" t="s">
        <v>224</v>
      </c>
      <c r="I8" s="51">
        <v>10</v>
      </c>
      <c r="J8" s="51">
        <v>10</v>
      </c>
      <c r="K8" s="49">
        <v>45623</v>
      </c>
      <c r="L8" s="42"/>
      <c r="M8" s="42"/>
      <c r="N8" s="42"/>
    </row>
    <row r="9" spans="1:380" x14ac:dyDescent="0.25">
      <c r="A9" s="42"/>
      <c r="B9" s="42"/>
      <c r="C9" s="42" t="s">
        <v>225</v>
      </c>
      <c r="D9" s="42"/>
      <c r="E9" s="49">
        <v>45616</v>
      </c>
      <c r="F9" s="42"/>
      <c r="G9" s="42"/>
      <c r="H9" s="42" t="s">
        <v>224</v>
      </c>
      <c r="I9" s="51">
        <v>7</v>
      </c>
      <c r="J9" s="51">
        <v>7</v>
      </c>
      <c r="K9" s="49">
        <v>45623</v>
      </c>
      <c r="L9" s="42"/>
      <c r="M9" s="42"/>
      <c r="N9" s="42"/>
    </row>
    <row r="10" spans="1:380" x14ac:dyDescent="0.25">
      <c r="A10" s="42"/>
      <c r="B10" s="42"/>
      <c r="C10" s="42" t="s">
        <v>174</v>
      </c>
      <c r="D10" s="42"/>
      <c r="E10" s="42"/>
      <c r="F10" s="42"/>
      <c r="G10" s="42"/>
      <c r="H10" s="42"/>
      <c r="I10" s="42"/>
      <c r="J10" s="42"/>
      <c r="K10" s="42"/>
      <c r="L10" s="42"/>
      <c r="M10" s="42"/>
      <c r="N10" s="42"/>
    </row>
    <row r="11" spans="1:380" x14ac:dyDescent="0.25">
      <c r="A11" s="42"/>
      <c r="B11" s="42"/>
      <c r="C11" s="42" t="s">
        <v>175</v>
      </c>
      <c r="D11" s="42"/>
      <c r="E11" s="42"/>
      <c r="F11" s="42"/>
      <c r="G11" s="42"/>
      <c r="H11" s="42" t="s">
        <v>203</v>
      </c>
      <c r="I11" s="42" t="s">
        <v>204</v>
      </c>
      <c r="J11" s="51">
        <v>5</v>
      </c>
      <c r="K11" s="49">
        <v>45593</v>
      </c>
      <c r="L11" s="42"/>
      <c r="M11" s="42"/>
      <c r="N11" s="42"/>
    </row>
    <row r="12" spans="1:380" x14ac:dyDescent="0.25">
      <c r="A12" s="42"/>
      <c r="B12" s="42"/>
      <c r="C12" s="42" t="s">
        <v>175</v>
      </c>
      <c r="D12" s="42"/>
      <c r="E12" s="42"/>
      <c r="F12" s="42"/>
      <c r="G12" s="42"/>
      <c r="H12" s="42" t="s">
        <v>203</v>
      </c>
      <c r="I12" s="42" t="s">
        <v>226</v>
      </c>
      <c r="J12" s="51">
        <v>5</v>
      </c>
      <c r="K12" s="49">
        <v>45629</v>
      </c>
      <c r="L12" s="42"/>
      <c r="M12" s="42"/>
      <c r="N12" s="42"/>
    </row>
    <row r="13" spans="1:380" x14ac:dyDescent="0.25">
      <c r="A13" s="42"/>
      <c r="B13" s="42"/>
      <c r="C13" s="42" t="s">
        <v>276</v>
      </c>
      <c r="D13" s="43">
        <v>45653</v>
      </c>
      <c r="E13" s="43">
        <v>45678</v>
      </c>
      <c r="F13" s="56" t="s">
        <v>280</v>
      </c>
      <c r="G13" s="42"/>
      <c r="H13" s="42" t="s">
        <v>203</v>
      </c>
      <c r="I13" s="42" t="s">
        <v>228</v>
      </c>
      <c r="J13" s="51">
        <v>10</v>
      </c>
      <c r="K13" s="49">
        <v>45641</v>
      </c>
      <c r="L13" s="42"/>
      <c r="M13" s="42"/>
      <c r="N13" s="42"/>
      <c r="P13" s="58" t="s">
        <v>276</v>
      </c>
      <c r="Q13" s="58"/>
      <c r="R13" s="58"/>
      <c r="S13" s="58"/>
      <c r="T13" s="58"/>
      <c r="U13" s="58"/>
      <c r="V13" s="58"/>
      <c r="W13" s="58"/>
      <c r="X13" s="58"/>
      <c r="Y13" s="58"/>
      <c r="Z13" s="58"/>
      <c r="AA13" s="58"/>
      <c r="AB13" s="58"/>
      <c r="AC13" s="58"/>
      <c r="AD13" s="58"/>
      <c r="AE13" s="58"/>
      <c r="AF13" s="58"/>
      <c r="AG13" s="58"/>
      <c r="AH13" s="58"/>
      <c r="AI13" s="58"/>
      <c r="AJ13" s="58"/>
      <c r="AK13" s="58"/>
      <c r="AL13" s="58"/>
      <c r="AM13" s="58"/>
      <c r="AN13" s="58"/>
      <c r="AO13" s="58"/>
      <c r="AP13" s="58"/>
      <c r="AQ13" s="58"/>
      <c r="AR13" s="58"/>
      <c r="AS13" s="58"/>
      <c r="AT13" s="58"/>
      <c r="AU13" s="58"/>
      <c r="AV13" s="58"/>
      <c r="AW13" s="58"/>
      <c r="AX13" s="58"/>
      <c r="AY13" s="58"/>
      <c r="AZ13" s="58"/>
      <c r="BA13" s="58"/>
    </row>
    <row r="14" spans="1:380" x14ac:dyDescent="0.25">
      <c r="A14" s="51">
        <v>0</v>
      </c>
      <c r="B14" s="42" t="s">
        <v>267</v>
      </c>
      <c r="C14" s="42" t="s">
        <v>269</v>
      </c>
      <c r="D14" s="42"/>
      <c r="E14" s="42"/>
      <c r="F14" s="42"/>
      <c r="G14" s="42"/>
      <c r="H14" s="42" t="s">
        <v>203</v>
      </c>
      <c r="I14" s="42">
        <v>5</v>
      </c>
      <c r="J14" s="51">
        <v>5</v>
      </c>
      <c r="K14" s="49">
        <v>45666</v>
      </c>
      <c r="L14" s="42"/>
      <c r="M14" s="42"/>
      <c r="N14" s="42"/>
    </row>
    <row r="15" spans="1:380" x14ac:dyDescent="0.25">
      <c r="A15" s="51">
        <v>0</v>
      </c>
      <c r="B15" s="42" t="s">
        <v>267</v>
      </c>
      <c r="C15" s="42" t="s">
        <v>268</v>
      </c>
      <c r="D15" s="42"/>
      <c r="E15" s="42"/>
      <c r="F15" s="42"/>
      <c r="G15" s="42"/>
      <c r="H15" s="42" t="s">
        <v>203</v>
      </c>
      <c r="I15" s="42">
        <v>5</v>
      </c>
      <c r="J15" s="51">
        <v>5</v>
      </c>
      <c r="K15" s="49">
        <v>45668</v>
      </c>
      <c r="L15" s="42"/>
      <c r="M15" s="42"/>
      <c r="N15" s="42"/>
    </row>
    <row r="16" spans="1:380" x14ac:dyDescent="0.25">
      <c r="A16" s="51" t="s">
        <v>12</v>
      </c>
      <c r="B16" s="42"/>
      <c r="C16" s="42"/>
      <c r="D16" s="42"/>
      <c r="E16" s="42"/>
      <c r="F16" s="42"/>
      <c r="G16" s="42"/>
      <c r="H16" s="42"/>
      <c r="I16" s="42"/>
      <c r="J16" s="51"/>
      <c r="K16" s="49"/>
      <c r="L16" s="42"/>
      <c r="M16" s="42"/>
      <c r="N16" s="42"/>
    </row>
    <row r="17" spans="1:53" x14ac:dyDescent="0.25">
      <c r="A17" s="42"/>
      <c r="B17" s="42" t="s">
        <v>12</v>
      </c>
      <c r="C17" s="52" t="s">
        <v>266</v>
      </c>
      <c r="D17" s="42"/>
      <c r="E17" s="42"/>
      <c r="F17" s="42"/>
      <c r="G17" s="42"/>
      <c r="H17" s="42" t="s">
        <v>64</v>
      </c>
      <c r="I17" s="42">
        <v>25</v>
      </c>
      <c r="J17" s="51">
        <v>25</v>
      </c>
      <c r="K17" s="49">
        <v>45650</v>
      </c>
      <c r="L17" s="42"/>
      <c r="M17" s="42"/>
      <c r="N17" s="42"/>
    </row>
    <row r="18" spans="1:53" x14ac:dyDescent="0.25">
      <c r="A18" s="42"/>
      <c r="B18" s="42" t="s">
        <v>12</v>
      </c>
      <c r="C18" s="52" t="s">
        <v>265</v>
      </c>
      <c r="D18" s="43">
        <v>45656</v>
      </c>
      <c r="E18" s="43">
        <v>45666</v>
      </c>
      <c r="F18" s="56" t="s">
        <v>280</v>
      </c>
      <c r="G18" s="42"/>
      <c r="H18" s="42" t="s">
        <v>64</v>
      </c>
      <c r="I18" s="42">
        <v>30</v>
      </c>
      <c r="J18" s="51"/>
      <c r="K18" s="49" t="s">
        <v>272</v>
      </c>
      <c r="L18" s="42"/>
      <c r="M18" s="42">
        <v>30</v>
      </c>
      <c r="N18" s="42"/>
      <c r="P18" s="58" t="s">
        <v>265</v>
      </c>
      <c r="Q18" s="58"/>
      <c r="R18" s="58"/>
      <c r="S18" s="58"/>
      <c r="T18" s="58"/>
      <c r="U18" s="58"/>
      <c r="V18" s="58"/>
      <c r="W18" s="58"/>
      <c r="X18" s="58"/>
      <c r="Y18" s="58"/>
      <c r="Z18" s="58"/>
      <c r="AA18" s="58"/>
      <c r="AB18" s="58"/>
      <c r="AC18" s="58"/>
      <c r="AD18" s="58"/>
      <c r="AE18" s="58"/>
      <c r="AF18" s="58"/>
      <c r="AG18" s="58"/>
      <c r="AH18" s="58"/>
      <c r="AI18" s="58"/>
      <c r="AJ18" s="58"/>
      <c r="AK18" s="58"/>
      <c r="AL18" s="58"/>
      <c r="AM18" s="58"/>
      <c r="AN18" s="58"/>
      <c r="AO18" s="58"/>
      <c r="AP18" s="58"/>
      <c r="AQ18" s="58"/>
      <c r="AR18" s="58"/>
      <c r="AS18" s="58"/>
      <c r="AT18" s="58"/>
      <c r="AU18" s="58"/>
      <c r="AV18" s="58"/>
      <c r="AW18" s="58"/>
      <c r="AX18" s="58"/>
      <c r="AY18" s="58"/>
      <c r="AZ18" s="58"/>
      <c r="BA18" s="58"/>
    </row>
    <row r="19" spans="1:53" x14ac:dyDescent="0.25">
      <c r="A19" s="42" t="s">
        <v>106</v>
      </c>
      <c r="B19" s="42"/>
      <c r="C19" s="52"/>
      <c r="D19" s="49"/>
      <c r="E19" s="49"/>
      <c r="F19" s="42"/>
      <c r="G19" s="42"/>
      <c r="H19" s="42"/>
      <c r="I19" s="42"/>
      <c r="J19" s="51"/>
      <c r="K19" s="49"/>
      <c r="L19" s="42"/>
      <c r="M19" s="42"/>
      <c r="N19" s="42"/>
    </row>
    <row r="20" spans="1:53" x14ac:dyDescent="0.25">
      <c r="A20" s="42"/>
      <c r="B20" s="42" t="s">
        <v>106</v>
      </c>
      <c r="C20" s="52" t="s">
        <v>277</v>
      </c>
      <c r="D20" s="42"/>
      <c r="E20" s="42"/>
      <c r="F20" s="42"/>
      <c r="G20" s="42"/>
      <c r="H20" s="42" t="s">
        <v>100</v>
      </c>
      <c r="I20" s="42"/>
      <c r="J20" s="42"/>
      <c r="K20" s="42"/>
      <c r="L20" s="42"/>
      <c r="M20" s="42"/>
      <c r="N20" s="42"/>
    </row>
    <row r="21" spans="1:53" x14ac:dyDescent="0.25">
      <c r="A21" s="42"/>
      <c r="B21" s="42" t="s">
        <v>106</v>
      </c>
      <c r="C21" s="52" t="s">
        <v>274</v>
      </c>
      <c r="D21" s="43">
        <v>45667</v>
      </c>
      <c r="E21" s="43">
        <v>45667</v>
      </c>
      <c r="F21" s="56" t="s">
        <v>280</v>
      </c>
      <c r="G21" s="42"/>
      <c r="H21" s="42" t="s">
        <v>273</v>
      </c>
      <c r="I21" s="42">
        <v>15</v>
      </c>
      <c r="J21" s="51">
        <v>15</v>
      </c>
      <c r="K21" s="49">
        <v>45668</v>
      </c>
      <c r="L21" s="42"/>
      <c r="M21" s="42"/>
      <c r="N21" s="42"/>
      <c r="Y21" s="58" t="s">
        <v>274</v>
      </c>
      <c r="Z21" s="58"/>
      <c r="AA21" s="58"/>
      <c r="AB21" s="58"/>
      <c r="AC21" s="58"/>
      <c r="AD21" s="58"/>
      <c r="AE21" s="58"/>
      <c r="AF21" s="58"/>
      <c r="AG21" s="58"/>
      <c r="AH21" s="58"/>
      <c r="AI21" s="58"/>
      <c r="AJ21" s="58"/>
      <c r="AK21" s="58"/>
      <c r="AL21" s="58"/>
      <c r="AM21" s="58"/>
      <c r="AN21" s="58"/>
      <c r="AO21" s="58"/>
      <c r="AP21" s="58"/>
      <c r="AQ21" s="58"/>
      <c r="AR21" s="58"/>
      <c r="AS21" s="58"/>
      <c r="AT21" s="58"/>
      <c r="AU21" s="58"/>
      <c r="AV21" s="58"/>
      <c r="AW21" s="58"/>
      <c r="AX21" s="58"/>
      <c r="AY21" s="58"/>
      <c r="AZ21" s="58"/>
      <c r="BA21" s="58"/>
    </row>
    <row r="22" spans="1:53" x14ac:dyDescent="0.25">
      <c r="A22" s="42"/>
      <c r="B22" s="42"/>
      <c r="C22" s="52"/>
      <c r="D22" s="49"/>
      <c r="E22" s="49"/>
      <c r="F22" s="42"/>
      <c r="G22" s="42"/>
      <c r="H22" s="42"/>
      <c r="I22" s="42"/>
      <c r="J22" s="51"/>
      <c r="K22" s="49"/>
      <c r="L22" s="42"/>
      <c r="M22" s="42"/>
      <c r="N22" s="42"/>
    </row>
    <row r="23" spans="1:53" x14ac:dyDescent="0.25">
      <c r="A23" s="42"/>
      <c r="B23" s="42"/>
      <c r="C23" s="52"/>
      <c r="D23" s="42"/>
      <c r="E23" s="42"/>
      <c r="F23" s="42"/>
      <c r="G23" s="42"/>
      <c r="H23" s="42"/>
      <c r="I23" s="42"/>
      <c r="J23" s="42"/>
      <c r="K23" s="42"/>
      <c r="L23" s="42"/>
      <c r="M23" s="42"/>
      <c r="N23" s="42"/>
    </row>
    <row r="24" spans="1:53" x14ac:dyDescent="0.25">
      <c r="A24" s="42"/>
      <c r="B24" s="42" t="s">
        <v>6</v>
      </c>
      <c r="C24" s="42" t="s">
        <v>243</v>
      </c>
      <c r="D24" s="43">
        <v>45658</v>
      </c>
      <c r="E24" s="43">
        <v>45662</v>
      </c>
      <c r="F24" s="56" t="s">
        <v>280</v>
      </c>
      <c r="G24" s="42"/>
      <c r="H24" s="42"/>
      <c r="I24" s="51">
        <v>5</v>
      </c>
      <c r="J24" s="51">
        <v>5</v>
      </c>
      <c r="K24" s="53">
        <v>45643</v>
      </c>
      <c r="L24" s="42"/>
      <c r="M24" s="42"/>
      <c r="N24" s="42"/>
      <c r="P24" s="58" t="s">
        <v>243</v>
      </c>
      <c r="Q24" s="58"/>
      <c r="R24" s="58"/>
      <c r="S24" s="58"/>
      <c r="T24" s="58"/>
      <c r="U24" s="58"/>
      <c r="V24" s="58"/>
      <c r="W24" s="58"/>
      <c r="X24" s="58"/>
      <c r="Y24" s="58"/>
      <c r="Z24" s="58"/>
      <c r="AA24" s="58"/>
      <c r="AB24" s="58"/>
      <c r="AC24" s="58"/>
      <c r="AD24" s="58"/>
      <c r="AE24" s="58"/>
      <c r="AF24" s="58"/>
      <c r="AG24" s="58"/>
      <c r="AH24" s="58"/>
      <c r="AI24" s="58"/>
      <c r="AJ24" s="58"/>
      <c r="AK24" s="58"/>
      <c r="AL24" s="58"/>
      <c r="AM24" s="58"/>
      <c r="AN24" s="58"/>
      <c r="AO24" s="58"/>
      <c r="AP24" s="58"/>
      <c r="AQ24" s="58"/>
      <c r="AR24" s="58"/>
      <c r="AS24" s="58"/>
      <c r="AT24" s="58"/>
      <c r="AU24" s="58"/>
      <c r="AV24" s="58"/>
      <c r="AW24" s="58"/>
      <c r="AX24" s="58"/>
      <c r="AY24" s="58"/>
      <c r="AZ24" s="58"/>
      <c r="BA24" s="58"/>
    </row>
    <row r="25" spans="1:53" x14ac:dyDescent="0.25">
      <c r="A25" s="42"/>
      <c r="B25" s="42" t="s">
        <v>6</v>
      </c>
      <c r="C25" s="42" t="s">
        <v>103</v>
      </c>
      <c r="D25" s="49"/>
      <c r="E25" s="49"/>
      <c r="F25" s="55"/>
      <c r="G25" s="42"/>
      <c r="H25" s="42"/>
      <c r="I25" s="42">
        <v>10</v>
      </c>
      <c r="J25" s="51">
        <f>J27+J28</f>
        <v>5</v>
      </c>
      <c r="K25" s="42"/>
      <c r="L25" s="42"/>
      <c r="M25" s="42"/>
      <c r="N25" s="42"/>
    </row>
    <row r="26" spans="1:53" x14ac:dyDescent="0.25">
      <c r="A26" s="42"/>
      <c r="B26" s="42" t="s">
        <v>6</v>
      </c>
      <c r="C26" s="42" t="s">
        <v>103</v>
      </c>
      <c r="D26" s="42"/>
      <c r="E26" s="42"/>
      <c r="F26" s="42"/>
      <c r="G26" s="42"/>
      <c r="H26" s="42"/>
      <c r="I26" s="42"/>
      <c r="J26" s="42"/>
      <c r="K26" s="51" t="s">
        <v>244</v>
      </c>
      <c r="L26" s="42"/>
      <c r="M26" s="42"/>
      <c r="N26" s="42"/>
    </row>
    <row r="27" spans="1:53" x14ac:dyDescent="0.25">
      <c r="A27" s="42"/>
      <c r="B27" s="42" t="s">
        <v>6</v>
      </c>
      <c r="C27" s="42" t="s">
        <v>103</v>
      </c>
      <c r="D27" s="42"/>
      <c r="E27" s="42"/>
      <c r="F27" s="42"/>
      <c r="G27" s="42"/>
      <c r="H27" s="42"/>
      <c r="I27" s="42"/>
      <c r="J27" s="38">
        <v>5</v>
      </c>
      <c r="K27" s="53">
        <v>45655</v>
      </c>
      <c r="L27" s="42"/>
      <c r="M27" s="42"/>
      <c r="N27" s="42"/>
    </row>
    <row r="28" spans="1:53" x14ac:dyDescent="0.25">
      <c r="A28" s="42"/>
      <c r="B28" s="42" t="s">
        <v>6</v>
      </c>
      <c r="C28" s="42" t="s">
        <v>103</v>
      </c>
      <c r="D28" s="42"/>
      <c r="E28" s="42"/>
      <c r="F28" s="42"/>
      <c r="G28" s="42"/>
      <c r="H28" s="42"/>
      <c r="I28" s="38">
        <v>5</v>
      </c>
      <c r="J28" s="42"/>
      <c r="K28" s="42" t="s">
        <v>246</v>
      </c>
      <c r="L28" s="42"/>
      <c r="M28" s="42"/>
      <c r="N28" s="42"/>
    </row>
    <row r="29" spans="1:53" x14ac:dyDescent="0.25">
      <c r="A29" s="42"/>
      <c r="B29" s="42"/>
      <c r="C29" s="42"/>
      <c r="D29" s="42"/>
      <c r="E29" s="42"/>
      <c r="F29" s="42"/>
      <c r="G29" s="42"/>
      <c r="H29" s="42"/>
      <c r="I29" s="42"/>
      <c r="J29" s="42"/>
      <c r="K29" s="42"/>
      <c r="L29" s="42"/>
      <c r="M29" s="42"/>
      <c r="N29" s="42"/>
    </row>
    <row r="30" spans="1:53" x14ac:dyDescent="0.25">
      <c r="A30" s="42"/>
      <c r="B30" s="42"/>
      <c r="C30" s="42"/>
      <c r="D30" s="42"/>
      <c r="E30" s="42"/>
      <c r="F30" s="42"/>
      <c r="G30" s="42"/>
      <c r="H30" s="42"/>
      <c r="I30" s="42"/>
      <c r="J30" s="42"/>
      <c r="K30" s="42"/>
      <c r="L30" s="42"/>
      <c r="M30" s="42"/>
      <c r="N30" s="42"/>
    </row>
    <row r="31" spans="1:53" x14ac:dyDescent="0.25">
      <c r="A31" s="42"/>
      <c r="B31" s="42"/>
      <c r="C31" s="42"/>
      <c r="D31" s="42"/>
      <c r="E31" s="42"/>
      <c r="F31" s="42"/>
      <c r="G31" s="42"/>
      <c r="H31" s="42"/>
      <c r="I31" s="42"/>
      <c r="J31" s="42"/>
      <c r="K31" s="42"/>
      <c r="L31" s="42"/>
      <c r="M31" s="42"/>
      <c r="N31" s="42"/>
    </row>
    <row r="32" spans="1:53" x14ac:dyDescent="0.25">
      <c r="A32" s="42"/>
      <c r="B32" s="42"/>
      <c r="C32" s="42"/>
      <c r="D32" s="42"/>
      <c r="E32" s="42"/>
      <c r="F32" s="42"/>
      <c r="G32" s="42"/>
      <c r="H32" s="42"/>
      <c r="I32" s="42"/>
      <c r="J32" s="42"/>
      <c r="K32" s="42"/>
      <c r="L32" s="42"/>
      <c r="M32" s="42"/>
      <c r="N32" s="42"/>
    </row>
    <row r="33" spans="1:14" x14ac:dyDescent="0.25">
      <c r="A33" s="42"/>
      <c r="B33" s="42"/>
      <c r="C33" s="42"/>
      <c r="D33" s="42"/>
      <c r="E33" s="42"/>
      <c r="F33" s="42"/>
      <c r="G33" s="42"/>
      <c r="H33" s="42"/>
      <c r="I33" s="42"/>
      <c r="J33" s="42"/>
      <c r="K33" s="42"/>
      <c r="L33" s="42"/>
      <c r="M33" s="42"/>
      <c r="N33" s="42"/>
    </row>
    <row r="34" spans="1:14" x14ac:dyDescent="0.25">
      <c r="A34" s="42"/>
      <c r="B34" s="42"/>
      <c r="C34" s="42"/>
      <c r="D34" s="42"/>
      <c r="E34" s="42"/>
      <c r="F34" s="42"/>
      <c r="G34" s="42"/>
      <c r="H34" s="42"/>
      <c r="I34" s="42"/>
      <c r="J34" s="42"/>
      <c r="K34" s="42"/>
      <c r="L34" s="42"/>
      <c r="M34" s="42"/>
      <c r="N34" s="42"/>
    </row>
    <row r="35" spans="1:14" x14ac:dyDescent="0.25">
      <c r="A35" s="42"/>
      <c r="B35" s="42"/>
      <c r="C35" s="42"/>
      <c r="D35" s="42"/>
      <c r="E35" s="42"/>
      <c r="F35" s="42"/>
      <c r="G35" s="42"/>
      <c r="H35" s="42"/>
      <c r="I35" s="42"/>
      <c r="J35" s="42"/>
      <c r="K35" s="42"/>
      <c r="L35" s="42"/>
      <c r="M35" s="42"/>
      <c r="N35" s="42"/>
    </row>
    <row r="36" spans="1:14" x14ac:dyDescent="0.25">
      <c r="A36" s="42"/>
      <c r="B36" s="42"/>
      <c r="C36" s="42"/>
      <c r="D36" s="42"/>
      <c r="E36" s="42"/>
      <c r="F36" s="42"/>
      <c r="G36" s="42"/>
      <c r="H36" s="42"/>
      <c r="I36" s="42"/>
      <c r="J36" s="42"/>
      <c r="K36" s="42"/>
      <c r="L36" s="42"/>
      <c r="M36" s="42"/>
      <c r="N36" s="42"/>
    </row>
    <row r="37" spans="1:14" x14ac:dyDescent="0.25">
      <c r="A37" s="42"/>
      <c r="B37" s="42"/>
      <c r="C37" s="42"/>
      <c r="D37" s="42"/>
      <c r="E37" s="42"/>
      <c r="F37" s="42"/>
      <c r="G37" s="42"/>
      <c r="H37" s="42"/>
      <c r="I37" s="42"/>
      <c r="J37" s="42"/>
      <c r="K37" s="42"/>
      <c r="L37" s="42"/>
      <c r="M37" s="42"/>
      <c r="N37" s="42"/>
    </row>
    <row r="38" spans="1:14" x14ac:dyDescent="0.25">
      <c r="A38" s="42"/>
      <c r="B38" s="42"/>
      <c r="C38" s="42"/>
      <c r="D38" s="42"/>
      <c r="E38" s="42"/>
      <c r="F38" s="42"/>
      <c r="G38" s="42"/>
      <c r="H38" s="42"/>
      <c r="I38" s="42"/>
      <c r="J38" s="42"/>
      <c r="K38" s="42"/>
      <c r="L38" s="42"/>
      <c r="M38" s="42"/>
      <c r="N38" s="42"/>
    </row>
    <row r="39" spans="1:14" x14ac:dyDescent="0.25">
      <c r="A39" s="42"/>
      <c r="B39" s="42"/>
      <c r="C39" s="42"/>
      <c r="D39" s="42"/>
      <c r="E39" s="42"/>
      <c r="F39" s="42"/>
      <c r="G39" s="42"/>
      <c r="H39" s="42"/>
      <c r="I39" s="42"/>
      <c r="J39" s="42"/>
      <c r="K39" s="42"/>
      <c r="L39" s="42"/>
      <c r="M39" s="42"/>
      <c r="N39" s="42"/>
    </row>
    <row r="40" spans="1:14" x14ac:dyDescent="0.25">
      <c r="A40" s="42"/>
      <c r="B40" s="42"/>
      <c r="C40" s="42"/>
      <c r="D40" s="42"/>
      <c r="E40" s="42"/>
      <c r="F40" s="42"/>
      <c r="G40" s="42"/>
      <c r="H40" s="42"/>
      <c r="I40" s="42"/>
      <c r="J40" s="42"/>
      <c r="K40" s="42"/>
      <c r="L40" s="42"/>
      <c r="M40" s="42"/>
      <c r="N40" s="42"/>
    </row>
    <row r="41" spans="1:14" x14ac:dyDescent="0.25">
      <c r="A41" s="42"/>
      <c r="B41" s="42"/>
      <c r="C41" s="42"/>
      <c r="D41" s="42"/>
      <c r="E41" s="42"/>
      <c r="F41" s="42"/>
      <c r="G41" s="42"/>
      <c r="H41" s="42"/>
      <c r="I41" s="42"/>
      <c r="J41" s="42"/>
      <c r="K41" s="42"/>
      <c r="L41" s="42"/>
      <c r="M41" s="42"/>
      <c r="N41" s="42"/>
    </row>
    <row r="42" spans="1:14" x14ac:dyDescent="0.25">
      <c r="A42" s="42"/>
      <c r="B42" s="42"/>
      <c r="C42" s="42"/>
      <c r="D42" s="42"/>
      <c r="E42" s="42"/>
      <c r="F42" s="42"/>
      <c r="G42" s="42"/>
      <c r="H42" s="42"/>
      <c r="I42" s="42"/>
      <c r="J42" s="42"/>
      <c r="K42" s="42"/>
      <c r="L42" s="42"/>
      <c r="M42" s="42"/>
      <c r="N42" s="42"/>
    </row>
    <row r="43" spans="1:14" x14ac:dyDescent="0.25">
      <c r="A43" s="42"/>
      <c r="B43" s="42"/>
      <c r="C43" s="42"/>
      <c r="D43" s="42"/>
      <c r="E43" s="42"/>
      <c r="F43" s="42"/>
      <c r="G43" s="42"/>
      <c r="H43" s="42"/>
      <c r="I43" s="42"/>
      <c r="J43" s="42"/>
      <c r="K43" s="42"/>
      <c r="L43" s="42"/>
      <c r="M43" s="42"/>
      <c r="N43" s="42"/>
    </row>
    <row r="44" spans="1:14" x14ac:dyDescent="0.25">
      <c r="A44" s="42"/>
      <c r="B44" s="42"/>
      <c r="C44" s="42"/>
      <c r="D44" s="42"/>
      <c r="E44" s="42"/>
      <c r="F44" s="42"/>
      <c r="G44" s="42"/>
      <c r="H44" s="42"/>
      <c r="I44" s="42"/>
      <c r="J44" s="42"/>
      <c r="K44" s="42"/>
      <c r="L44" s="42"/>
      <c r="M44" s="42"/>
      <c r="N44" s="42"/>
    </row>
    <row r="45" spans="1:14" x14ac:dyDescent="0.25">
      <c r="A45" s="42"/>
      <c r="B45" s="42"/>
      <c r="C45" s="42"/>
      <c r="D45" s="42"/>
      <c r="E45" s="42"/>
      <c r="F45" s="42"/>
      <c r="G45" s="42"/>
      <c r="H45" s="42"/>
      <c r="I45" s="42"/>
      <c r="J45" s="42"/>
      <c r="K45" s="42"/>
      <c r="L45" s="42"/>
      <c r="M45" s="42"/>
      <c r="N45" s="42"/>
    </row>
    <row r="46" spans="1:14" x14ac:dyDescent="0.25">
      <c r="A46" s="42"/>
      <c r="B46" s="42"/>
      <c r="C46" s="42"/>
      <c r="D46" s="42"/>
      <c r="E46" s="42"/>
      <c r="F46" s="42"/>
      <c r="G46" s="42"/>
      <c r="H46" s="42"/>
      <c r="I46" s="42"/>
      <c r="J46" s="42"/>
      <c r="K46" s="42"/>
      <c r="L46" s="42"/>
      <c r="M46" s="42"/>
      <c r="N46" s="42"/>
    </row>
    <row r="47" spans="1:14" x14ac:dyDescent="0.25">
      <c r="A47" s="42"/>
      <c r="B47" s="42"/>
      <c r="C47" s="42"/>
      <c r="D47" s="42"/>
      <c r="E47" s="42"/>
      <c r="F47" s="42"/>
      <c r="G47" s="42"/>
      <c r="H47" s="42"/>
      <c r="I47" s="42"/>
      <c r="J47" s="42"/>
      <c r="K47" s="42"/>
      <c r="L47" s="42"/>
      <c r="M47" s="42"/>
      <c r="N47" s="42"/>
    </row>
    <row r="48" spans="1:14" x14ac:dyDescent="0.25">
      <c r="A48" s="42"/>
      <c r="B48" s="42"/>
      <c r="C48" s="42"/>
      <c r="D48" s="42"/>
      <c r="E48" s="42"/>
      <c r="F48" s="42"/>
      <c r="G48" s="42"/>
      <c r="H48" s="42"/>
      <c r="I48" s="42"/>
      <c r="J48" s="42"/>
      <c r="K48" s="42"/>
      <c r="L48" s="42"/>
      <c r="M48" s="42"/>
      <c r="N48" s="42"/>
    </row>
    <row r="49" spans="1:14" x14ac:dyDescent="0.25">
      <c r="A49" s="42"/>
      <c r="B49" s="42"/>
      <c r="C49" s="42"/>
      <c r="D49" s="42"/>
      <c r="E49" s="42"/>
      <c r="F49" s="42"/>
      <c r="G49" s="42"/>
      <c r="H49" s="42"/>
      <c r="I49" s="42"/>
      <c r="J49" s="42"/>
      <c r="K49" s="42"/>
      <c r="L49" s="42"/>
      <c r="M49" s="42"/>
      <c r="N49" s="42"/>
    </row>
    <row r="50" spans="1:14" x14ac:dyDescent="0.25">
      <c r="A50" s="42"/>
      <c r="B50" s="42"/>
      <c r="C50" s="42"/>
      <c r="D50" s="42"/>
      <c r="E50" s="42"/>
      <c r="F50" s="42"/>
      <c r="G50" s="42"/>
      <c r="H50" s="42"/>
      <c r="I50" s="42"/>
      <c r="J50" s="42"/>
      <c r="K50" s="42"/>
      <c r="L50" s="42"/>
      <c r="M50" s="42"/>
      <c r="N50" s="42"/>
    </row>
    <row r="51" spans="1:14" x14ac:dyDescent="0.25">
      <c r="A51" s="42"/>
      <c r="B51" s="42"/>
      <c r="C51" s="42"/>
      <c r="D51" s="42"/>
      <c r="E51" s="42"/>
      <c r="F51" s="42"/>
      <c r="G51" s="42"/>
      <c r="H51" s="42"/>
      <c r="I51" s="42"/>
      <c r="J51" s="42"/>
      <c r="K51" s="42"/>
      <c r="L51" s="42"/>
      <c r="M51" s="42"/>
      <c r="N51" s="42"/>
    </row>
    <row r="52" spans="1:14" x14ac:dyDescent="0.25">
      <c r="A52" s="42"/>
      <c r="B52" s="42"/>
      <c r="C52" s="42"/>
      <c r="D52" s="42"/>
      <c r="E52" s="42"/>
      <c r="F52" s="42"/>
      <c r="G52" s="42"/>
      <c r="H52" s="42"/>
      <c r="I52" s="42"/>
      <c r="J52" s="42"/>
      <c r="K52" s="42"/>
      <c r="L52" s="42"/>
      <c r="M52" s="42"/>
      <c r="N52" s="42"/>
    </row>
    <row r="53" spans="1:14" x14ac:dyDescent="0.25">
      <c r="A53" s="42"/>
      <c r="B53" s="42"/>
      <c r="C53" s="42"/>
      <c r="D53" s="42"/>
      <c r="E53" s="42"/>
      <c r="F53" s="42"/>
      <c r="G53" s="42"/>
      <c r="H53" s="42"/>
      <c r="I53" s="42"/>
      <c r="J53" s="42"/>
      <c r="K53" s="42"/>
      <c r="L53" s="42"/>
      <c r="M53" s="42"/>
      <c r="N53" s="42"/>
    </row>
    <row r="54" spans="1:14" x14ac:dyDescent="0.25">
      <c r="A54" s="42"/>
      <c r="B54" s="42"/>
      <c r="C54" s="42"/>
      <c r="D54" s="42"/>
      <c r="E54" s="42"/>
      <c r="F54" s="42"/>
      <c r="G54" s="42"/>
      <c r="H54" s="42"/>
      <c r="I54" s="42"/>
      <c r="J54" s="42"/>
      <c r="K54" s="42"/>
      <c r="L54" s="42"/>
      <c r="M54" s="42"/>
      <c r="N54" s="42"/>
    </row>
    <row r="55" spans="1:14" x14ac:dyDescent="0.25">
      <c r="A55" s="42"/>
      <c r="B55" s="42"/>
      <c r="C55" s="42"/>
      <c r="D55" s="42"/>
      <c r="E55" s="42"/>
      <c r="F55" s="42"/>
      <c r="G55" s="42"/>
      <c r="H55" s="42"/>
      <c r="I55" s="42"/>
      <c r="J55" s="42"/>
      <c r="K55" s="42"/>
      <c r="L55" s="42"/>
      <c r="M55" s="42"/>
      <c r="N55" s="42"/>
    </row>
    <row r="56" spans="1:14" x14ac:dyDescent="0.25">
      <c r="A56" s="42"/>
      <c r="B56" s="42"/>
      <c r="C56" s="42"/>
      <c r="D56" s="42"/>
      <c r="E56" s="42"/>
      <c r="F56" s="42"/>
      <c r="G56" s="42"/>
      <c r="H56" s="42"/>
      <c r="I56" s="42"/>
      <c r="J56" s="42"/>
      <c r="K56" s="42"/>
      <c r="L56" s="42"/>
      <c r="M56" s="42"/>
      <c r="N56" s="42"/>
    </row>
    <row r="57" spans="1:14" x14ac:dyDescent="0.25">
      <c r="A57" s="42"/>
      <c r="B57" s="42"/>
      <c r="C57" s="42"/>
      <c r="D57" s="42"/>
      <c r="E57" s="42"/>
      <c r="F57" s="42"/>
      <c r="G57" s="42"/>
      <c r="H57" s="42"/>
      <c r="I57" s="42"/>
      <c r="J57" s="42"/>
      <c r="K57" s="42"/>
      <c r="L57" s="42"/>
      <c r="M57" s="42"/>
      <c r="N57" s="42"/>
    </row>
    <row r="58" spans="1:14" x14ac:dyDescent="0.25">
      <c r="A58" s="42"/>
      <c r="B58" s="42"/>
      <c r="C58" s="42"/>
      <c r="D58" s="42"/>
      <c r="E58" s="42"/>
      <c r="F58" s="42"/>
      <c r="G58" s="42"/>
      <c r="H58" s="42"/>
      <c r="I58" s="42"/>
      <c r="J58" s="42"/>
      <c r="K58" s="42"/>
      <c r="L58" s="42"/>
      <c r="M58" s="42"/>
      <c r="N58" s="42"/>
    </row>
    <row r="59" spans="1:14" x14ac:dyDescent="0.25">
      <c r="A59" s="42"/>
      <c r="B59" s="42"/>
      <c r="C59" s="42"/>
      <c r="D59" s="42"/>
      <c r="E59" s="42"/>
      <c r="F59" s="42"/>
      <c r="G59" s="42"/>
      <c r="H59" s="42"/>
      <c r="I59" s="42"/>
      <c r="J59" s="42"/>
      <c r="K59" s="42"/>
      <c r="L59" s="42"/>
      <c r="M59" s="42"/>
      <c r="N59" s="42"/>
    </row>
    <row r="60" spans="1:14" x14ac:dyDescent="0.25">
      <c r="A60" s="42" t="s">
        <v>279</v>
      </c>
      <c r="B60" s="42"/>
      <c r="C60" s="44" t="s">
        <v>4</v>
      </c>
      <c r="D60" s="42"/>
      <c r="E60" s="42"/>
      <c r="F60" s="42"/>
      <c r="G60" s="42"/>
      <c r="H60" s="42"/>
      <c r="I60" s="42"/>
      <c r="J60" s="42"/>
      <c r="K60" s="42"/>
      <c r="L60" s="42"/>
      <c r="M60" s="42"/>
      <c r="N60" s="42"/>
    </row>
    <row r="61" spans="1:14" x14ac:dyDescent="0.25">
      <c r="C61" t="s">
        <v>286</v>
      </c>
    </row>
    <row r="62" spans="1:14" x14ac:dyDescent="0.25">
      <c r="C62"/>
    </row>
    <row r="63" spans="1:14" x14ac:dyDescent="0.25">
      <c r="C63"/>
    </row>
    <row r="64" spans="1:14" x14ac:dyDescent="0.25">
      <c r="C64"/>
    </row>
    <row r="65" spans="3:3" x14ac:dyDescent="0.25">
      <c r="C65"/>
    </row>
    <row r="66" spans="3:3" x14ac:dyDescent="0.25">
      <c r="C66"/>
    </row>
    <row r="67" spans="3:3" x14ac:dyDescent="0.25">
      <c r="C67"/>
    </row>
    <row r="68" spans="3:3" x14ac:dyDescent="0.25">
      <c r="C68"/>
    </row>
  </sheetData>
  <mergeCells count="4">
    <mergeCell ref="P13:BA13"/>
    <mergeCell ref="P18:BA18"/>
    <mergeCell ref="Y21:BA21"/>
    <mergeCell ref="P24:BA24"/>
  </mergeCells>
  <pageMargins left="0.7" right="0.7" top="0.75" bottom="0.75" header="0.3" footer="0.3"/>
  <pageSetup paperSize="9" scale="10" orientation="landscape" r:id="rId1"/>
  <drawing r:id="rId2"/>
  <legacyDrawing r:id="rId3"/>
  <controls>
    <mc:AlternateContent xmlns:mc="http://schemas.openxmlformats.org/markup-compatibility/2006">
      <mc:Choice Requires="x14">
        <control shapeId="4097" r:id="rId4" name="CommandButton21">
          <controlPr defaultSize="0" autoLine="0" r:id="rId5">
            <anchor moveWithCells="1">
              <from>
                <xdr:col>2</xdr:col>
                <xdr:colOff>85725</xdr:colOff>
                <xdr:row>0</xdr:row>
                <xdr:rowOff>114300</xdr:rowOff>
              </from>
              <to>
                <xdr:col>2</xdr:col>
                <xdr:colOff>1476375</xdr:colOff>
                <xdr:row>0</xdr:row>
                <xdr:rowOff>704850</xdr:rowOff>
              </to>
            </anchor>
          </controlPr>
        </control>
      </mc:Choice>
      <mc:Fallback>
        <control shapeId="4097" r:id="rId4" name="CommandButton2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6</vt:i4>
      </vt:variant>
    </vt:vector>
  </HeadingPairs>
  <TitlesOfParts>
    <vt:vector size="6" baseType="lpstr">
      <vt:lpstr>Календарь</vt:lpstr>
      <vt:lpstr>Макет</vt:lpstr>
      <vt:lpstr>Лица</vt:lpstr>
      <vt:lpstr>Общие задачи</vt:lpstr>
      <vt:lpstr>Управление</vt:lpstr>
      <vt:lpstr>№ТЭЦ-11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2025-02-07T06:15:11Z</dcterms:modified>
</cp:coreProperties>
</file>